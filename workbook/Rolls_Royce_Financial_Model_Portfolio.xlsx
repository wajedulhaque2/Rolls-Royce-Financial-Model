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wajed\Documents\Excel Projects\Rolls_Royce_Financial_Model\"/>
    </mc:Choice>
  </mc:AlternateContent>
  <xr:revisionPtr revIDLastSave="0" documentId="13_ncr:1_{3CFB34C4-FBCE-4F19-97CC-7277F5DE27D6}" xr6:coauthVersionLast="47" xr6:coauthVersionMax="47" xr10:uidLastSave="{00000000-0000-0000-0000-000000000000}"/>
  <bookViews>
    <workbookView xWindow="28680" yWindow="-120" windowWidth="29040" windowHeight="15720" firstSheet="1" activeTab="3" xr2:uid="{DE984782-0C06-4F29-9BAD-33831FB590A2}"/>
  </bookViews>
  <sheets>
    <sheet name="README" sheetId="1" r:id="rId1"/>
    <sheet name="Dashboard" sheetId="9" r:id="rId2"/>
    <sheet name="Historical_FS" sheetId="3" r:id="rId3"/>
    <sheet name="Ratio_Analysis" sheetId="15" r:id="rId4"/>
    <sheet name="Operating_Drivers" sheetId="4" r:id="rId5"/>
    <sheet name="Forecast_Model" sheetId="5" r:id="rId6"/>
    <sheet name="DCF" sheetId="6" r:id="rId7"/>
    <sheet name="Comparable_Companies" sheetId="7" r:id="rId8"/>
    <sheet name="Sensitivity" sheetId="8" r:id="rId9"/>
    <sheet name="Power_Pivot_Analysis" sheetId="14" r:id="rId10"/>
    <sheet name="Checks" sheetId="10" r:id="rId11"/>
    <sheet name="Sources" sheetId="13" r:id="rId12"/>
    <sheet name="Raw_Data" sheetId="2" state="hidden" r:id="rId13"/>
  </sheets>
  <definedNames>
    <definedName name="ExternalData_1" localSheetId="12" hidden="1">Raw_Data!$A$1:$F$20</definedName>
    <definedName name="ExternalData_2" localSheetId="12" hidden="1">Raw_Data!$H$1:$S$20</definedName>
    <definedName name="ExternalData_3" localSheetId="12" hidden="1">Raw_Data!$U$1:$W$25</definedName>
    <definedName name="ExternalData_4" localSheetId="12" hidden="1">Raw_Data!$Y$1:$AA$49</definedName>
    <definedName name="ExternalData_5" localSheetId="12" hidden="1">Raw_Data!$AC$1:$AE$54</definedName>
  </definedNames>
  <calcPr calcId="191029"/>
  <pivotCaches>
    <pivotCache cacheId="416" r:id="rId14"/>
    <pivotCache cacheId="417" r:id="rId15"/>
    <pivotCache cacheId="418"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Q_Fact_Financials_52fec0fe-424b-4e84-a369-f2bdff5c523d" name="PQ_Fact_Financials" connection="Query - PQ_Fact_Financials"/>
          <x15:modelTable id="Dim_Period_c021423f-ff7c-4624-b44e-838f6cef5a32" name="Dim_Period" connection="Query - Dim_Period"/>
          <x15:modelTable id="Dim_Concept_6aa4dfa1-ff84-4cb0-9049-fc3f8c96e9a9" name="Dim_Concept" connection="Query - Dim_Concept"/>
          <x15:modelTable id="Merge1_6a18bd52-6760-4caf-9372-abc54cfdaddd" name="Merge1" connection="Query - Merge1"/>
        </x15:modelTables>
        <x15:modelRelationships>
          <x15:modelRelationship fromTable="Merge1" fromColumn="Period" toTable="Dim_Period" toColumn="Period"/>
          <x15:modelRelationship fromTable="Merge1" fromColumn="Concept ID" toTable="Dim_Concept" toColumn="Concep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56" i="6" l="1"/>
  <c r="B10" i="6"/>
  <c r="S14" i="9"/>
  <c r="S13" i="9"/>
  <c r="S12" i="9"/>
  <c r="S11" i="9"/>
  <c r="S10" i="9"/>
  <c r="P19" i="9"/>
  <c r="P18" i="9"/>
  <c r="P17" i="9"/>
  <c r="P16" i="9"/>
  <c r="P15" i="9"/>
  <c r="C23" i="9"/>
  <c r="D23" i="9"/>
  <c r="E23" i="9"/>
  <c r="F23" i="9"/>
  <c r="G23" i="9"/>
  <c r="B23" i="9"/>
  <c r="J16" i="9"/>
  <c r="K16" i="9"/>
  <c r="L16" i="9"/>
  <c r="M16" i="9"/>
  <c r="N16" i="9"/>
  <c r="I16" i="9"/>
  <c r="M55" i="8"/>
  <c r="M40" i="8"/>
  <c r="C21" i="15"/>
  <c r="D21" i="15"/>
  <c r="E21" i="15"/>
  <c r="F21" i="15"/>
  <c r="G21" i="15"/>
  <c r="H21" i="15"/>
  <c r="I21" i="15"/>
  <c r="B21" i="15"/>
  <c r="C20" i="15"/>
  <c r="D20" i="15"/>
  <c r="E20" i="15"/>
  <c r="F20" i="15"/>
  <c r="G20" i="15"/>
  <c r="H20" i="15"/>
  <c r="I20" i="15"/>
  <c r="J20" i="15"/>
  <c r="K20" i="15"/>
  <c r="B20" i="15"/>
  <c r="C19" i="15"/>
  <c r="D19" i="15"/>
  <c r="E19" i="15"/>
  <c r="F19" i="15"/>
  <c r="G19" i="15"/>
  <c r="H19" i="15"/>
  <c r="I19" i="15"/>
  <c r="J19" i="15"/>
  <c r="K19" i="15"/>
  <c r="B19" i="15"/>
  <c r="C16" i="15"/>
  <c r="D16" i="15"/>
  <c r="E16" i="15"/>
  <c r="F16" i="15"/>
  <c r="G16" i="15"/>
  <c r="H16" i="15"/>
  <c r="I16" i="15"/>
  <c r="J16" i="15"/>
  <c r="K16" i="15"/>
  <c r="B16" i="15"/>
  <c r="C15" i="15"/>
  <c r="D15" i="15"/>
  <c r="E15" i="15"/>
  <c r="F15" i="15"/>
  <c r="G15" i="15"/>
  <c r="H15" i="15"/>
  <c r="I15" i="15"/>
  <c r="J15" i="15"/>
  <c r="K15" i="15"/>
  <c r="B15" i="15"/>
  <c r="K14" i="15"/>
  <c r="C14" i="15"/>
  <c r="D14" i="15"/>
  <c r="E14" i="15"/>
  <c r="F14" i="15"/>
  <c r="G14" i="15"/>
  <c r="H14" i="15"/>
  <c r="I14" i="15"/>
  <c r="J14" i="15"/>
  <c r="B14" i="15"/>
  <c r="C13" i="15"/>
  <c r="D13" i="15"/>
  <c r="E13" i="15"/>
  <c r="F13" i="15"/>
  <c r="G13" i="15"/>
  <c r="H13" i="15"/>
  <c r="I13" i="15"/>
  <c r="J13" i="15"/>
  <c r="K13" i="15"/>
  <c r="B13" i="15"/>
  <c r="C6" i="15"/>
  <c r="B6" i="15"/>
  <c r="H3" i="15"/>
  <c r="P11" i="9" s="1"/>
  <c r="I3" i="15"/>
  <c r="P12" i="9" s="1"/>
  <c r="J3" i="15"/>
  <c r="P13" i="9" s="1"/>
  <c r="K3" i="15"/>
  <c r="P14" i="9" s="1"/>
  <c r="C3" i="15"/>
  <c r="D3" i="15"/>
  <c r="E3" i="15"/>
  <c r="F3" i="15"/>
  <c r="G3" i="15"/>
  <c r="P10" i="9" s="1"/>
  <c r="B3" i="15"/>
  <c r="AK9" i="2"/>
  <c r="J17" i="3" s="1"/>
  <c r="AJ9" i="2"/>
  <c r="K17" i="3" s="1"/>
  <c r="AK13" i="2"/>
  <c r="AK14" i="2"/>
  <c r="AK15" i="2"/>
  <c r="AK16" i="2"/>
  <c r="AK17" i="2"/>
  <c r="AJ13" i="2"/>
  <c r="AJ14" i="2"/>
  <c r="AJ15" i="2"/>
  <c r="AJ16" i="2"/>
  <c r="AJ17" i="2"/>
  <c r="AK12" i="2"/>
  <c r="J31" i="3" s="1"/>
  <c r="J21" i="15" s="1"/>
  <c r="AJ12" i="2"/>
  <c r="K31" i="3" s="1"/>
  <c r="K21" i="15" s="1"/>
  <c r="AK5" i="2"/>
  <c r="J12" i="3" s="1"/>
  <c r="AK6" i="2"/>
  <c r="J13" i="3" s="1"/>
  <c r="AK7" i="2"/>
  <c r="J15" i="3" s="1"/>
  <c r="AK8" i="2"/>
  <c r="J16" i="3" s="1"/>
  <c r="AK10" i="2"/>
  <c r="J19" i="3" s="1"/>
  <c r="AJ5" i="2"/>
  <c r="K12" i="3" s="1"/>
  <c r="AJ6" i="2"/>
  <c r="K13" i="3" s="1"/>
  <c r="AJ7" i="2"/>
  <c r="K15" i="3" s="1"/>
  <c r="AJ8" i="2"/>
  <c r="K16" i="3" s="1"/>
  <c r="AJ10" i="2"/>
  <c r="K19" i="3" s="1"/>
  <c r="AK4" i="2"/>
  <c r="J8" i="3" s="1"/>
  <c r="AJ4" i="2"/>
  <c r="K8" i="3" s="1"/>
  <c r="B14" i="10"/>
  <c r="C14" i="10" s="1"/>
  <c r="C30" i="7"/>
  <c r="B30" i="7"/>
  <c r="O11" i="7" a="1"/>
  <c r="R11" i="7" s="1"/>
  <c r="O10" i="7" a="1"/>
  <c r="R10" i="7" s="1"/>
  <c r="O9" i="7" a="1"/>
  <c r="R9" i="7" s="1"/>
  <c r="O8" i="7" a="1"/>
  <c r="R8" i="7" s="1"/>
  <c r="O7" i="7" a="1"/>
  <c r="R7" i="7" s="1"/>
  <c r="O6" i="7" a="1"/>
  <c r="R6" i="7" s="1"/>
  <c r="D6" i="7" s="1"/>
  <c r="C54" i="8"/>
  <c r="D54" i="8"/>
  <c r="B54" i="8"/>
  <c r="C52" i="8"/>
  <c r="D52" i="8"/>
  <c r="B52" i="8"/>
  <c r="C51" i="8"/>
  <c r="D51" i="8"/>
  <c r="B51" i="8"/>
  <c r="B26" i="8"/>
  <c r="B46" i="8" s="1"/>
  <c r="B25" i="8"/>
  <c r="B24" i="8"/>
  <c r="B23" i="8"/>
  <c r="M25" i="8"/>
  <c r="M17" i="8"/>
  <c r="B61" i="6"/>
  <c r="B37" i="6"/>
  <c r="B36" i="6"/>
  <c r="B35" i="6"/>
  <c r="B31" i="6"/>
  <c r="B27" i="6"/>
  <c r="B10" i="9" s="1"/>
  <c r="B21" i="6"/>
  <c r="B63" i="6" s="1"/>
  <c r="B20" i="6"/>
  <c r="B15" i="6"/>
  <c r="B23" i="6" s="1"/>
  <c r="B14" i="6"/>
  <c r="B13" i="6"/>
  <c r="B16" i="6" s="1"/>
  <c r="B9" i="6"/>
  <c r="B8" i="6"/>
  <c r="B11" i="6" s="1"/>
  <c r="S113" i="4"/>
  <c r="S91" i="4"/>
  <c r="S90" i="4"/>
  <c r="S89" i="4"/>
  <c r="S88" i="4"/>
  <c r="S85" i="4"/>
  <c r="S84" i="4"/>
  <c r="S83" i="4"/>
  <c r="S82" i="4"/>
  <c r="S81" i="4"/>
  <c r="S80" i="4"/>
  <c r="S79" i="4"/>
  <c r="S78" i="4"/>
  <c r="S77" i="4"/>
  <c r="S75" i="4"/>
  <c r="S74" i="4"/>
  <c r="S73" i="4"/>
  <c r="S68" i="4"/>
  <c r="S67" i="4"/>
  <c r="S69" i="4" s="1"/>
  <c r="S64" i="4"/>
  <c r="S63" i="4"/>
  <c r="S39" i="4"/>
  <c r="S38" i="4"/>
  <c r="S57" i="4"/>
  <c r="C43" i="4"/>
  <c r="D43" i="4"/>
  <c r="E43" i="4"/>
  <c r="F43" i="4"/>
  <c r="G43" i="4"/>
  <c r="H43" i="4"/>
  <c r="I43" i="4"/>
  <c r="J43" i="4"/>
  <c r="K43" i="4"/>
  <c r="B43" i="4"/>
  <c r="C40" i="4"/>
  <c r="D40" i="4"/>
  <c r="E40" i="4"/>
  <c r="F40" i="4"/>
  <c r="G40" i="4"/>
  <c r="H40" i="4"/>
  <c r="I40" i="4"/>
  <c r="J40" i="4"/>
  <c r="K40" i="4"/>
  <c r="B40" i="4"/>
  <c r="C37" i="4"/>
  <c r="D37" i="4"/>
  <c r="E37" i="4"/>
  <c r="F37" i="4"/>
  <c r="G37" i="4"/>
  <c r="H37" i="4"/>
  <c r="I37" i="4"/>
  <c r="J37" i="4"/>
  <c r="K37" i="4"/>
  <c r="B37" i="4"/>
  <c r="S48" i="4"/>
  <c r="S47" i="4"/>
  <c r="S44" i="4"/>
  <c r="S43" i="4"/>
  <c r="C32" i="4"/>
  <c r="D32" i="4"/>
  <c r="E32" i="4"/>
  <c r="F32" i="4"/>
  <c r="G32" i="4"/>
  <c r="H32" i="4"/>
  <c r="I32" i="4"/>
  <c r="J32" i="4"/>
  <c r="K32" i="4"/>
  <c r="B32" i="4"/>
  <c r="C30" i="4"/>
  <c r="D30" i="4"/>
  <c r="E30" i="4"/>
  <c r="F30" i="4"/>
  <c r="G30" i="4"/>
  <c r="H30" i="4"/>
  <c r="I30" i="4"/>
  <c r="J30" i="4"/>
  <c r="K30" i="4"/>
  <c r="B15" i="5" s="1"/>
  <c r="C29" i="4"/>
  <c r="D29" i="4"/>
  <c r="E29" i="4"/>
  <c r="F29" i="4"/>
  <c r="G29" i="4"/>
  <c r="H29" i="4"/>
  <c r="I29" i="4"/>
  <c r="J29" i="4"/>
  <c r="K29" i="4"/>
  <c r="B14" i="5" s="1"/>
  <c r="C28" i="4"/>
  <c r="D28" i="4"/>
  <c r="E28" i="4"/>
  <c r="F28" i="4"/>
  <c r="G28" i="4"/>
  <c r="H28" i="4"/>
  <c r="I28" i="4"/>
  <c r="J28" i="4"/>
  <c r="K28" i="4"/>
  <c r="B13" i="5" s="1"/>
  <c r="B30" i="4"/>
  <c r="B29" i="4"/>
  <c r="B28" i="4"/>
  <c r="S34" i="4"/>
  <c r="S33" i="4"/>
  <c r="S112" i="4" s="1"/>
  <c r="S32" i="4"/>
  <c r="S111" i="4" s="1"/>
  <c r="S31" i="4"/>
  <c r="S110" i="4" s="1"/>
  <c r="C11" i="4"/>
  <c r="D11" i="4"/>
  <c r="D12" i="4" s="1"/>
  <c r="E11" i="4"/>
  <c r="E12" i="4" s="1"/>
  <c r="F11" i="4"/>
  <c r="F12" i="4" s="1"/>
  <c r="G11" i="4"/>
  <c r="G12" i="4" s="1"/>
  <c r="H11" i="4"/>
  <c r="H12" i="4" s="1"/>
  <c r="I11" i="4"/>
  <c r="I12" i="4" s="1"/>
  <c r="J11" i="4"/>
  <c r="J12" i="4" s="1"/>
  <c r="K11" i="4"/>
  <c r="B26" i="9" s="1"/>
  <c r="B11" i="4"/>
  <c r="C8" i="4"/>
  <c r="D8" i="4"/>
  <c r="D9" i="4" s="1"/>
  <c r="E8" i="4"/>
  <c r="E9" i="4" s="1"/>
  <c r="F8" i="4"/>
  <c r="F9" i="4" s="1"/>
  <c r="G8" i="4"/>
  <c r="G9" i="4" s="1"/>
  <c r="H8" i="4"/>
  <c r="I8" i="4"/>
  <c r="I9" i="4" s="1"/>
  <c r="J8" i="4"/>
  <c r="K8" i="4"/>
  <c r="B25" i="9" s="1"/>
  <c r="B8" i="4"/>
  <c r="C5" i="4"/>
  <c r="D5" i="4"/>
  <c r="D6" i="4" s="1"/>
  <c r="E5" i="4"/>
  <c r="E6" i="4" s="1"/>
  <c r="F5" i="4"/>
  <c r="F6" i="4" s="1"/>
  <c r="G5" i="4"/>
  <c r="G6" i="4" s="1"/>
  <c r="H5" i="4"/>
  <c r="H6" i="4" s="1"/>
  <c r="I5" i="4"/>
  <c r="I6" i="4" s="1"/>
  <c r="J5" i="4"/>
  <c r="J6" i="4" s="1"/>
  <c r="K5" i="4"/>
  <c r="B24" i="9" s="1"/>
  <c r="B5" i="4"/>
  <c r="C52" i="3"/>
  <c r="C31" i="4" s="1"/>
  <c r="D52" i="3"/>
  <c r="D31" i="4" s="1"/>
  <c r="E52" i="3"/>
  <c r="E31" i="4" s="1"/>
  <c r="F52" i="3"/>
  <c r="F31" i="4" s="1"/>
  <c r="G52" i="3"/>
  <c r="G31" i="4" s="1"/>
  <c r="H52" i="3"/>
  <c r="H31" i="4" s="1"/>
  <c r="I52" i="3"/>
  <c r="I31" i="4" s="1"/>
  <c r="J52" i="3"/>
  <c r="J31" i="4" s="1"/>
  <c r="K52" i="3"/>
  <c r="K31" i="4" s="1"/>
  <c r="B52" i="3"/>
  <c r="B31" i="4" s="1"/>
  <c r="C42" i="3"/>
  <c r="D42" i="3"/>
  <c r="E42" i="3"/>
  <c r="F42" i="3"/>
  <c r="G42" i="3"/>
  <c r="H42" i="3"/>
  <c r="I42" i="3"/>
  <c r="J42" i="3"/>
  <c r="K42" i="3"/>
  <c r="B42" i="3"/>
  <c r="B18" i="3"/>
  <c r="B14" i="3"/>
  <c r="B8" i="15" s="1"/>
  <c r="C11" i="3"/>
  <c r="D11" i="3"/>
  <c r="E11" i="3"/>
  <c r="F11" i="3"/>
  <c r="G11" i="3"/>
  <c r="H11" i="3"/>
  <c r="I11" i="3"/>
  <c r="J11" i="3"/>
  <c r="K11" i="3"/>
  <c r="B11" i="3"/>
  <c r="D9" i="3"/>
  <c r="D6" i="15" s="1"/>
  <c r="E9" i="3"/>
  <c r="E6" i="15" s="1"/>
  <c r="F9" i="3"/>
  <c r="F6" i="15" s="1"/>
  <c r="G9" i="3"/>
  <c r="G6" i="15" s="1"/>
  <c r="H9" i="3"/>
  <c r="H6" i="15" s="1"/>
  <c r="I9" i="3"/>
  <c r="I6" i="15" s="1"/>
  <c r="J9" i="3"/>
  <c r="J6" i="15" s="1"/>
  <c r="K9" i="3"/>
  <c r="K6" i="15" s="1"/>
  <c r="C14" i="3"/>
  <c r="C8" i="15" s="1"/>
  <c r="C18" i="3"/>
  <c r="B51" i="3"/>
  <c r="C51" i="3"/>
  <c r="D14" i="3"/>
  <c r="D8" i="15" s="1"/>
  <c r="F49" i="3"/>
  <c r="H49" i="3"/>
  <c r="B49" i="3"/>
  <c r="C49" i="3"/>
  <c r="D49" i="3"/>
  <c r="E49" i="3"/>
  <c r="G49" i="3"/>
  <c r="I49" i="3"/>
  <c r="J49" i="3"/>
  <c r="D51" i="3"/>
  <c r="E51" i="3"/>
  <c r="F51" i="3"/>
  <c r="G51" i="3"/>
  <c r="H51" i="3"/>
  <c r="I51" i="3"/>
  <c r="J51" i="3"/>
  <c r="B47" i="3"/>
  <c r="C47" i="3"/>
  <c r="D47" i="3"/>
  <c r="E47" i="3"/>
  <c r="F47" i="3"/>
  <c r="G47" i="3"/>
  <c r="H47" i="3"/>
  <c r="I47" i="3"/>
  <c r="J47" i="3"/>
  <c r="B28" i="3"/>
  <c r="B10" i="15" s="1"/>
  <c r="C28" i="3"/>
  <c r="C10" i="15" s="1"/>
  <c r="D28" i="3"/>
  <c r="D10" i="15" s="1"/>
  <c r="E28" i="3"/>
  <c r="E10" i="15" s="1"/>
  <c r="F28" i="3"/>
  <c r="F10" i="15" s="1"/>
  <c r="G28" i="3"/>
  <c r="G10" i="15" s="1"/>
  <c r="H28" i="3"/>
  <c r="H10" i="15" s="1"/>
  <c r="I28" i="3"/>
  <c r="I10" i="15" s="1"/>
  <c r="J28" i="3"/>
  <c r="J10" i="15" s="1"/>
  <c r="D18" i="3"/>
  <c r="E18" i="3"/>
  <c r="F18" i="3"/>
  <c r="G18" i="3"/>
  <c r="H18" i="3"/>
  <c r="I18" i="3"/>
  <c r="E14" i="3"/>
  <c r="E8" i="15" s="1"/>
  <c r="F14" i="3"/>
  <c r="F8" i="15" s="1"/>
  <c r="G14" i="3"/>
  <c r="G8" i="15" s="1"/>
  <c r="H14" i="3"/>
  <c r="H8" i="15" s="1"/>
  <c r="I14" i="3"/>
  <c r="I8" i="15" s="1"/>
  <c r="K51" i="3"/>
  <c r="K49" i="3"/>
  <c r="K47" i="3"/>
  <c r="K28" i="3"/>
  <c r="K10" i="15" s="1"/>
  <c r="J14" i="3" l="1"/>
  <c r="J8" i="15" s="1"/>
  <c r="C76" i="8"/>
  <c r="B32" i="7"/>
  <c r="B17" i="10" s="1"/>
  <c r="C17" i="10" s="1"/>
  <c r="C32" i="7"/>
  <c r="B11" i="9"/>
  <c r="B46" i="4"/>
  <c r="B9" i="15"/>
  <c r="C25" i="4"/>
  <c r="C7" i="15"/>
  <c r="D25" i="4"/>
  <c r="D7" i="15"/>
  <c r="E25" i="4"/>
  <c r="E7" i="15"/>
  <c r="F25" i="4"/>
  <c r="F7" i="15"/>
  <c r="G25" i="4"/>
  <c r="G7" i="15"/>
  <c r="Q10" i="9" s="1"/>
  <c r="H25" i="4"/>
  <c r="H7" i="15"/>
  <c r="Q11" i="9" s="1"/>
  <c r="I25" i="4"/>
  <c r="I7" i="15"/>
  <c r="Q12" i="9" s="1"/>
  <c r="J25" i="4"/>
  <c r="J7" i="15"/>
  <c r="Q13" i="9" s="1"/>
  <c r="K25" i="4"/>
  <c r="K7" i="15"/>
  <c r="Q14" i="9" s="1"/>
  <c r="B25" i="4"/>
  <c r="B7" i="15"/>
  <c r="C46" i="4"/>
  <c r="C9" i="15"/>
  <c r="B24" i="4"/>
  <c r="B26" i="15"/>
  <c r="C24" i="4"/>
  <c r="C26" i="15"/>
  <c r="F23" i="4"/>
  <c r="F25" i="15"/>
  <c r="H23" i="4"/>
  <c r="H25" i="15"/>
  <c r="B23" i="4"/>
  <c r="B25" i="15"/>
  <c r="C23" i="4"/>
  <c r="C25" i="15"/>
  <c r="D23" i="4"/>
  <c r="D25" i="15"/>
  <c r="E23" i="4"/>
  <c r="E25" i="15"/>
  <c r="G23" i="4"/>
  <c r="G25" i="15"/>
  <c r="I23" i="4"/>
  <c r="I25" i="15"/>
  <c r="J23" i="4"/>
  <c r="J25" i="15"/>
  <c r="D24" i="4"/>
  <c r="D26" i="15"/>
  <c r="E24" i="4"/>
  <c r="E26" i="15"/>
  <c r="F24" i="4"/>
  <c r="F26" i="15"/>
  <c r="G24" i="4"/>
  <c r="G26" i="15"/>
  <c r="H24" i="4"/>
  <c r="H26" i="15"/>
  <c r="I24" i="4"/>
  <c r="I26" i="15"/>
  <c r="J24" i="4"/>
  <c r="J26" i="15"/>
  <c r="B22" i="4"/>
  <c r="B24" i="15"/>
  <c r="C22" i="4"/>
  <c r="C24" i="15"/>
  <c r="D22" i="4"/>
  <c r="D24" i="15"/>
  <c r="E22" i="4"/>
  <c r="E24" i="15"/>
  <c r="F22" i="4"/>
  <c r="F24" i="15"/>
  <c r="G22" i="4"/>
  <c r="G24" i="15"/>
  <c r="H22" i="4"/>
  <c r="H24" i="15"/>
  <c r="I22" i="4"/>
  <c r="I24" i="15"/>
  <c r="J22" i="4"/>
  <c r="J24" i="15"/>
  <c r="D46" i="4"/>
  <c r="D9" i="15"/>
  <c r="E46" i="4"/>
  <c r="E9" i="15"/>
  <c r="F46" i="4"/>
  <c r="F9" i="15"/>
  <c r="G46" i="4"/>
  <c r="G9" i="15"/>
  <c r="H46" i="4"/>
  <c r="H9" i="15"/>
  <c r="I46" i="4"/>
  <c r="I9" i="15"/>
  <c r="K24" i="4"/>
  <c r="K26" i="15"/>
  <c r="K23" i="4"/>
  <c r="K25" i="15"/>
  <c r="K22" i="4"/>
  <c r="K24" i="15"/>
  <c r="H9" i="4"/>
  <c r="S93" i="4"/>
  <c r="S114" i="4"/>
  <c r="S120" i="4" s="1"/>
  <c r="S126" i="4" s="1"/>
  <c r="L31" i="4" s="1"/>
  <c r="M14" i="8"/>
  <c r="K4" i="8"/>
  <c r="B53" i="6"/>
  <c r="B78" i="8"/>
  <c r="D78" i="8"/>
  <c r="C78" i="8"/>
  <c r="B34" i="7"/>
  <c r="C34" i="7"/>
  <c r="B22" i="6"/>
  <c r="B25" i="6" s="1"/>
  <c r="B69" i="6"/>
  <c r="B70" i="6" s="1"/>
  <c r="B65" i="6"/>
  <c r="S65" i="4"/>
  <c r="M21" i="8"/>
  <c r="M13" i="8"/>
  <c r="B76" i="8"/>
  <c r="D76" i="8"/>
  <c r="M24" i="4"/>
  <c r="P24" i="4"/>
  <c r="O24" i="4"/>
  <c r="N24" i="4"/>
  <c r="M23" i="4"/>
  <c r="P23" i="4"/>
  <c r="O23" i="4"/>
  <c r="N23" i="4"/>
  <c r="M22" i="4"/>
  <c r="P22" i="4"/>
  <c r="O22" i="4"/>
  <c r="N22" i="4"/>
  <c r="C40" i="3"/>
  <c r="C17" i="4"/>
  <c r="D40" i="3"/>
  <c r="D17" i="4"/>
  <c r="E40" i="3"/>
  <c r="E17" i="4"/>
  <c r="F40" i="3"/>
  <c r="F17" i="4"/>
  <c r="G40" i="3"/>
  <c r="G17" i="4"/>
  <c r="H40" i="3"/>
  <c r="H17" i="4"/>
  <c r="I40" i="3"/>
  <c r="I14" i="4" s="1"/>
  <c r="I17" i="4"/>
  <c r="I18" i="4" s="1"/>
  <c r="I43" i="3"/>
  <c r="J40" i="3"/>
  <c r="J14" i="4" s="1"/>
  <c r="J15" i="4" s="1"/>
  <c r="J43" i="3"/>
  <c r="J17" i="4"/>
  <c r="K40" i="3"/>
  <c r="K14" i="4" s="1"/>
  <c r="B8" i="5" s="1"/>
  <c r="K17" i="4"/>
  <c r="K43" i="3"/>
  <c r="B40" i="3"/>
  <c r="B17" i="4"/>
  <c r="B43" i="3"/>
  <c r="K14" i="3"/>
  <c r="K8" i="15" s="1"/>
  <c r="B24" i="6"/>
  <c r="J18" i="3"/>
  <c r="S59" i="4"/>
  <c r="S58" i="4"/>
  <c r="K18" i="3"/>
  <c r="D11" i="7"/>
  <c r="S11" i="7"/>
  <c r="E11" i="7" s="1"/>
  <c r="D10" i="7"/>
  <c r="S10" i="7"/>
  <c r="E10" i="7" s="1"/>
  <c r="D9" i="7"/>
  <c r="S9" i="7"/>
  <c r="E9" i="7" s="1"/>
  <c r="D8" i="7"/>
  <c r="S8" i="7"/>
  <c r="E8" i="7" s="1"/>
  <c r="D7" i="7"/>
  <c r="S7" i="7"/>
  <c r="E7" i="7" s="1"/>
  <c r="S6" i="7"/>
  <c r="E6" i="7" s="1"/>
  <c r="B16" i="10" s="1"/>
  <c r="C16" i="10" s="1"/>
  <c r="C6" i="4"/>
  <c r="C12" i="4"/>
  <c r="C9" i="4"/>
  <c r="J9" i="4"/>
  <c r="K33" i="4"/>
  <c r="B18" i="5" s="1"/>
  <c r="I19" i="9" s="1"/>
  <c r="B17" i="5"/>
  <c r="B16" i="5"/>
  <c r="C16" i="5"/>
  <c r="D18" i="4"/>
  <c r="D33" i="4"/>
  <c r="K18" i="4"/>
  <c r="S13" i="4" s="1"/>
  <c r="S8" i="4"/>
  <c r="B9" i="5"/>
  <c r="I17" i="9" s="1"/>
  <c r="S28" i="4"/>
  <c r="K15" i="4"/>
  <c r="S96" i="4"/>
  <c r="S101" i="4" s="1"/>
  <c r="S106" i="4" s="1"/>
  <c r="L14" i="4" s="1"/>
  <c r="L15" i="4" s="1"/>
  <c r="K12" i="4"/>
  <c r="S95" i="4"/>
  <c r="B7" i="5"/>
  <c r="S7" i="4"/>
  <c r="S27" i="4"/>
  <c r="K9" i="4"/>
  <c r="S11" i="4" s="1"/>
  <c r="S94" i="4"/>
  <c r="S6" i="4"/>
  <c r="B6" i="5"/>
  <c r="S26" i="4"/>
  <c r="S25" i="4"/>
  <c r="S5" i="4"/>
  <c r="B5" i="5"/>
  <c r="P46" i="4"/>
  <c r="G22" i="5" s="1"/>
  <c r="L46" i="4"/>
  <c r="N46" i="4"/>
  <c r="E22" i="5" s="1"/>
  <c r="O46" i="4"/>
  <c r="F22" i="5" s="1"/>
  <c r="M46" i="4"/>
  <c r="D22" i="5" s="1"/>
  <c r="K6" i="4"/>
  <c r="N31" i="4" l="1"/>
  <c r="E16" i="5" s="1"/>
  <c r="O31" i="4"/>
  <c r="F16" i="5" s="1"/>
  <c r="M31" i="4"/>
  <c r="D16" i="5" s="1"/>
  <c r="P31" i="4"/>
  <c r="G16" i="5" s="1"/>
  <c r="B19" i="9"/>
  <c r="Q6" i="9"/>
  <c r="A5" i="9"/>
  <c r="M45" i="8"/>
  <c r="M30" i="8"/>
  <c r="C14" i="4"/>
  <c r="C43" i="3"/>
  <c r="D14" i="4"/>
  <c r="D15" i="4" s="1"/>
  <c r="D43" i="3"/>
  <c r="F14" i="4"/>
  <c r="G15" i="4" s="1"/>
  <c r="F43" i="3"/>
  <c r="G14" i="4"/>
  <c r="G43" i="3"/>
  <c r="J46" i="4"/>
  <c r="J9" i="15"/>
  <c r="K46" i="4"/>
  <c r="K9" i="15"/>
  <c r="B21" i="5"/>
  <c r="I18" i="9"/>
  <c r="B15" i="10"/>
  <c r="C15" i="10" s="1"/>
  <c r="B36" i="7"/>
  <c r="C36" i="7"/>
  <c r="C15" i="4"/>
  <c r="C18" i="4"/>
  <c r="E14" i="4"/>
  <c r="E43" i="3"/>
  <c r="H14" i="4"/>
  <c r="H43" i="3"/>
  <c r="B14" i="4"/>
  <c r="B18" i="10" a="1"/>
  <c r="C18" i="10" s="1"/>
  <c r="C33" i="4"/>
  <c r="C38" i="4"/>
  <c r="C41" i="4"/>
  <c r="C44" i="4"/>
  <c r="D38" i="4"/>
  <c r="D41" i="4"/>
  <c r="D44" i="4"/>
  <c r="E33" i="4"/>
  <c r="E38" i="4"/>
  <c r="E41" i="4"/>
  <c r="E44" i="4"/>
  <c r="E18" i="4"/>
  <c r="F33" i="4"/>
  <c r="F38" i="4"/>
  <c r="F41" i="4"/>
  <c r="F44" i="4"/>
  <c r="F18" i="4"/>
  <c r="G33" i="4"/>
  <c r="G38" i="4"/>
  <c r="G41" i="4"/>
  <c r="G44" i="4"/>
  <c r="G18" i="4"/>
  <c r="H33" i="4"/>
  <c r="H38" i="4"/>
  <c r="H41" i="4"/>
  <c r="H44" i="4"/>
  <c r="H18" i="4"/>
  <c r="I33" i="4"/>
  <c r="I38" i="4"/>
  <c r="I41" i="4"/>
  <c r="I44" i="4"/>
  <c r="J33" i="4"/>
  <c r="J38" i="4"/>
  <c r="J41" i="4"/>
  <c r="J44" i="4"/>
  <c r="J18" i="4"/>
  <c r="S18" i="4" s="1"/>
  <c r="K38" i="4"/>
  <c r="K41" i="4"/>
  <c r="K44" i="4"/>
  <c r="B33" i="4"/>
  <c r="B38" i="4"/>
  <c r="B41" i="4"/>
  <c r="B44" i="4"/>
  <c r="B8" i="10"/>
  <c r="C8" i="10" s="1"/>
  <c r="S16" i="4"/>
  <c r="S22" i="4" s="1"/>
  <c r="S12" i="4"/>
  <c r="S17" i="4"/>
  <c r="S23" i="4" s="1"/>
  <c r="C22" i="5"/>
  <c r="B17" i="6"/>
  <c r="I11" i="7"/>
  <c r="B23" i="7" s="1"/>
  <c r="J11" i="7"/>
  <c r="B24" i="7" s="1"/>
  <c r="I10" i="7"/>
  <c r="J10" i="7"/>
  <c r="I9" i="7"/>
  <c r="J9" i="7"/>
  <c r="I8" i="7"/>
  <c r="J8" i="7"/>
  <c r="I7" i="7"/>
  <c r="J7" i="7"/>
  <c r="J6" i="7"/>
  <c r="I6" i="7"/>
  <c r="M14" i="4"/>
  <c r="C8" i="5"/>
  <c r="S10" i="4"/>
  <c r="S15" i="4"/>
  <c r="F15" i="4" l="1"/>
  <c r="E15" i="4"/>
  <c r="I15" i="4"/>
  <c r="H15" i="4"/>
  <c r="S55" i="4"/>
  <c r="S56" i="4"/>
  <c r="S54" i="4"/>
  <c r="S99" i="4"/>
  <c r="M9" i="4"/>
  <c r="P9" i="4"/>
  <c r="O9" i="4"/>
  <c r="N9" i="4"/>
  <c r="S100" i="4"/>
  <c r="M12" i="4"/>
  <c r="P12" i="4"/>
  <c r="O12" i="4"/>
  <c r="N12" i="4"/>
  <c r="B32" i="6"/>
  <c r="B33" i="6" s="1"/>
  <c r="B34" i="6" s="1"/>
  <c r="B38" i="6" s="1"/>
  <c r="B44" i="6" s="1"/>
  <c r="B18" i="6"/>
  <c r="B26" i="6" s="1"/>
  <c r="C20" i="7"/>
  <c r="C19" i="7"/>
  <c r="C18" i="7"/>
  <c r="C29" i="7" s="1"/>
  <c r="C31" i="7" s="1"/>
  <c r="C33" i="7" s="1"/>
  <c r="C35" i="7" s="1"/>
  <c r="C37" i="7" s="1"/>
  <c r="C17" i="7"/>
  <c r="C16" i="7"/>
  <c r="B18" i="7"/>
  <c r="B29" i="7" s="1"/>
  <c r="B31" i="7" s="1"/>
  <c r="B33" i="7" s="1"/>
  <c r="B35" i="7" s="1"/>
  <c r="B20" i="7"/>
  <c r="B16" i="7"/>
  <c r="B17" i="7"/>
  <c r="B19" i="7"/>
  <c r="D8" i="5"/>
  <c r="N14" i="4"/>
  <c r="S21" i="4"/>
  <c r="B9" i="9" l="1"/>
  <c r="P41" i="4"/>
  <c r="M41" i="4"/>
  <c r="N41" i="4"/>
  <c r="L41" i="4"/>
  <c r="O41" i="4"/>
  <c r="M44" i="4"/>
  <c r="N44" i="4"/>
  <c r="O44" i="4"/>
  <c r="P44" i="4"/>
  <c r="L44" i="4"/>
  <c r="P38" i="4"/>
  <c r="N38" i="4"/>
  <c r="O38" i="4"/>
  <c r="L38" i="4"/>
  <c r="M38" i="4"/>
  <c r="S118" i="4"/>
  <c r="S124" i="4" s="1"/>
  <c r="S104" i="4"/>
  <c r="S119" i="4"/>
  <c r="S125" i="4" s="1"/>
  <c r="S105" i="4"/>
  <c r="L11" i="4" s="1"/>
  <c r="C26" i="9" s="1"/>
  <c r="B12" i="10"/>
  <c r="C12" i="10" s="1"/>
  <c r="C53" i="8"/>
  <c r="D53" i="8"/>
  <c r="B53" i="8"/>
  <c r="M22" i="8"/>
  <c r="K3" i="8"/>
  <c r="B54" i="6"/>
  <c r="C47" i="6"/>
  <c r="D47" i="6"/>
  <c r="E47" i="6"/>
  <c r="F47" i="6"/>
  <c r="B47" i="6"/>
  <c r="B45" i="8"/>
  <c r="N6" i="4"/>
  <c r="O6" i="4"/>
  <c r="P6" i="4"/>
  <c r="M6" i="4"/>
  <c r="S98" i="4"/>
  <c r="B39" i="7"/>
  <c r="B37" i="7"/>
  <c r="E8" i="5"/>
  <c r="O14" i="4"/>
  <c r="B40" i="7" l="1"/>
  <c r="C18" i="9" s="1"/>
  <c r="I5" i="9"/>
  <c r="B18" i="9"/>
  <c r="L23" i="4"/>
  <c r="L29" i="4"/>
  <c r="C14" i="5" s="1"/>
  <c r="L8" i="4"/>
  <c r="C25" i="9" s="1"/>
  <c r="L24" i="4"/>
  <c r="L30" i="4"/>
  <c r="C15" i="5" s="1"/>
  <c r="C7" i="5"/>
  <c r="M11" i="4"/>
  <c r="D26" i="9" s="1"/>
  <c r="L12" i="4"/>
  <c r="S117" i="4"/>
  <c r="S123" i="4" s="1"/>
  <c r="S103" i="4"/>
  <c r="F8" i="5"/>
  <c r="P14" i="4"/>
  <c r="G8" i="5" s="1"/>
  <c r="C6" i="5" l="1"/>
  <c r="M8" i="4"/>
  <c r="D25" i="9" s="1"/>
  <c r="L9" i="4"/>
  <c r="D7" i="5"/>
  <c r="M30" i="4"/>
  <c r="D15" i="5" s="1"/>
  <c r="N11" i="4"/>
  <c r="E26" i="9" s="1"/>
  <c r="S127" i="4"/>
  <c r="L22" i="4"/>
  <c r="L28" i="4"/>
  <c r="L5" i="4"/>
  <c r="C24" i="9" s="1"/>
  <c r="S107" i="4"/>
  <c r="C5" i="5"/>
  <c r="M29" i="4" l="1"/>
  <c r="D14" i="5" s="1"/>
  <c r="D6" i="5"/>
  <c r="N8" i="4"/>
  <c r="E25" i="9" s="1"/>
  <c r="O11" i="4"/>
  <c r="F26" i="9" s="1"/>
  <c r="E7" i="5"/>
  <c r="N30" i="4"/>
  <c r="E15" i="5" s="1"/>
  <c r="S128" i="4"/>
  <c r="S129" i="4"/>
  <c r="M5" i="4"/>
  <c r="D24" i="9" s="1"/>
  <c r="L17" i="4"/>
  <c r="L37" i="4" s="1"/>
  <c r="C25" i="5" s="1"/>
  <c r="L6" i="4"/>
  <c r="L32" i="4"/>
  <c r="C13" i="5"/>
  <c r="M17" i="4"/>
  <c r="O8" i="4" l="1"/>
  <c r="F25" i="9" s="1"/>
  <c r="N29" i="4"/>
  <c r="E14" i="5" s="1"/>
  <c r="E6" i="5"/>
  <c r="P11" i="4"/>
  <c r="G26" i="9" s="1"/>
  <c r="F7" i="5"/>
  <c r="O30" i="4"/>
  <c r="F15" i="5" s="1"/>
  <c r="N5" i="4"/>
  <c r="D5" i="5"/>
  <c r="M28" i="4"/>
  <c r="C9" i="5"/>
  <c r="L40" i="4"/>
  <c r="C26" i="5" s="1"/>
  <c r="L43" i="4"/>
  <c r="C27" i="5" s="1"/>
  <c r="L18" i="4"/>
  <c r="L33" i="4"/>
  <c r="C18" i="5" s="1"/>
  <c r="S37" i="4"/>
  <c r="S40" i="4" s="1"/>
  <c r="L48" i="4"/>
  <c r="C17" i="5"/>
  <c r="M37" i="4"/>
  <c r="D25" i="5" s="1"/>
  <c r="D9" i="5"/>
  <c r="M40" i="4"/>
  <c r="D26" i="5" s="1"/>
  <c r="M43" i="4"/>
  <c r="D27" i="5" s="1"/>
  <c r="M18" i="4"/>
  <c r="N17" i="4"/>
  <c r="O5" i="4" l="1"/>
  <c r="E5" i="5"/>
  <c r="N28" i="4"/>
  <c r="E24" i="9"/>
  <c r="C10" i="5"/>
  <c r="C32" i="5"/>
  <c r="M34" i="8"/>
  <c r="M49" i="8"/>
  <c r="J17" i="9"/>
  <c r="B34" i="8"/>
  <c r="B35" i="8" s="1"/>
  <c r="J19" i="9"/>
  <c r="M50" i="8"/>
  <c r="Q15" i="9"/>
  <c r="M35" i="8"/>
  <c r="J18" i="9"/>
  <c r="M36" i="8"/>
  <c r="C31" i="8"/>
  <c r="K17" i="9"/>
  <c r="N49" i="8"/>
  <c r="O29" i="4"/>
  <c r="F14" i="5" s="1"/>
  <c r="F6" i="5"/>
  <c r="P8" i="4"/>
  <c r="G25" i="9" s="1"/>
  <c r="G7" i="5"/>
  <c r="P30" i="4"/>
  <c r="G15" i="5" s="1"/>
  <c r="B31" i="8"/>
  <c r="B32" i="8" s="1"/>
  <c r="B56" i="8"/>
  <c r="D56" i="8"/>
  <c r="C56" i="8"/>
  <c r="D13" i="5"/>
  <c r="M32" i="4"/>
  <c r="C23" i="5"/>
  <c r="L49" i="4"/>
  <c r="C21" i="5"/>
  <c r="C33" i="5"/>
  <c r="D10" i="5"/>
  <c r="D32" i="5"/>
  <c r="D17" i="5"/>
  <c r="K18" i="9" s="1"/>
  <c r="M33" i="4"/>
  <c r="D18" i="5" s="1"/>
  <c r="M48" i="4"/>
  <c r="N37" i="4"/>
  <c r="E25" i="5" s="1"/>
  <c r="E9" i="5"/>
  <c r="N40" i="4"/>
  <c r="E26" i="5" s="1"/>
  <c r="N43" i="4"/>
  <c r="E27" i="5" s="1"/>
  <c r="N18" i="4"/>
  <c r="O17" i="4"/>
  <c r="F5" i="5"/>
  <c r="O28" i="4"/>
  <c r="O32" i="4" s="1"/>
  <c r="F24" i="9" l="1"/>
  <c r="P5" i="4"/>
  <c r="G24" i="9" s="1"/>
  <c r="N34" i="8"/>
  <c r="N32" i="4"/>
  <c r="E13" i="5"/>
  <c r="C34" i="8"/>
  <c r="C35" i="8" s="1"/>
  <c r="N50" i="8"/>
  <c r="N35" i="8"/>
  <c r="Q16" i="9"/>
  <c r="K19" i="9"/>
  <c r="D31" i="8"/>
  <c r="O49" i="8"/>
  <c r="L17" i="9"/>
  <c r="P29" i="4"/>
  <c r="G14" i="5" s="1"/>
  <c r="G6" i="5"/>
  <c r="C32" i="8"/>
  <c r="B42" i="8"/>
  <c r="B41" i="8"/>
  <c r="B40" i="8"/>
  <c r="B37" i="8"/>
  <c r="B39" i="8" s="1"/>
  <c r="B57" i="8"/>
  <c r="D57" i="8"/>
  <c r="C57" i="8"/>
  <c r="L51" i="4"/>
  <c r="C28" i="5" s="1"/>
  <c r="C24" i="5"/>
  <c r="D21" i="5"/>
  <c r="D33" i="5"/>
  <c r="E10" i="5"/>
  <c r="E32" i="5"/>
  <c r="N33" i="4"/>
  <c r="S42" i="4"/>
  <c r="N48" i="4"/>
  <c r="E17" i="5"/>
  <c r="L18" i="9" s="1"/>
  <c r="O37" i="4"/>
  <c r="F25" i="5" s="1"/>
  <c r="F9" i="5"/>
  <c r="O40" i="4"/>
  <c r="F26" i="5" s="1"/>
  <c r="O43" i="4"/>
  <c r="F27" i="5" s="1"/>
  <c r="O18" i="4"/>
  <c r="F13" i="5"/>
  <c r="P17" i="4"/>
  <c r="G5" i="5"/>
  <c r="P28" i="4"/>
  <c r="D23" i="5"/>
  <c r="M49" i="4"/>
  <c r="N36" i="8" l="1"/>
  <c r="O34" i="8"/>
  <c r="N37" i="8"/>
  <c r="M51" i="8"/>
  <c r="N51" i="8"/>
  <c r="N52" i="8"/>
  <c r="M52" i="8"/>
  <c r="T10" i="9"/>
  <c r="M37" i="8"/>
  <c r="E31" i="8"/>
  <c r="M17" i="9"/>
  <c r="P49" i="8"/>
  <c r="B43" i="8"/>
  <c r="P32" i="4"/>
  <c r="C42" i="8"/>
  <c r="C41" i="8"/>
  <c r="C40" i="8"/>
  <c r="C37" i="8"/>
  <c r="C39" i="8" s="1"/>
  <c r="C43" i="8" s="1"/>
  <c r="D32" i="8"/>
  <c r="B63" i="8"/>
  <c r="B69" i="8" s="1"/>
  <c r="B58" i="8"/>
  <c r="D63" i="8"/>
  <c r="D69" i="8" s="1"/>
  <c r="D58" i="8"/>
  <c r="C58" i="8"/>
  <c r="C63" i="8"/>
  <c r="C69" i="8" s="1"/>
  <c r="C29" i="5"/>
  <c r="C62" i="8"/>
  <c r="C68" i="8" s="1"/>
  <c r="D62" i="8"/>
  <c r="D68" i="8" s="1"/>
  <c r="B62" i="8"/>
  <c r="B68" i="8" s="1"/>
  <c r="B43" i="6"/>
  <c r="B45" i="6" s="1"/>
  <c r="S46" i="4"/>
  <c r="S49" i="4" s="1"/>
  <c r="E18" i="5"/>
  <c r="S45" i="4"/>
  <c r="S51" i="4"/>
  <c r="E21" i="5"/>
  <c r="E33" i="5"/>
  <c r="F10" i="5"/>
  <c r="F32" i="5"/>
  <c r="O33" i="4"/>
  <c r="F18" i="5" s="1"/>
  <c r="O48" i="4"/>
  <c r="F17" i="5"/>
  <c r="M18" i="9" s="1"/>
  <c r="P43" i="4"/>
  <c r="G27" i="5" s="1"/>
  <c r="P40" i="4"/>
  <c r="G26" i="5" s="1"/>
  <c r="G9" i="5"/>
  <c r="P37" i="4"/>
  <c r="G25" i="5" s="1"/>
  <c r="P18" i="4"/>
  <c r="G13" i="5"/>
  <c r="D24" i="5"/>
  <c r="M51" i="4"/>
  <c r="D28" i="5" s="1"/>
  <c r="T11" i="9" s="1"/>
  <c r="E23" i="5"/>
  <c r="N49" i="4"/>
  <c r="O37" i="8" l="1"/>
  <c r="O36" i="8"/>
  <c r="P34" i="8"/>
  <c r="D34" i="8"/>
  <c r="D35" i="8" s="1"/>
  <c r="O50" i="8"/>
  <c r="Q17" i="9"/>
  <c r="L19" i="9"/>
  <c r="O35" i="8"/>
  <c r="E34" i="8"/>
  <c r="E35" i="8" s="1"/>
  <c r="Q18" i="9"/>
  <c r="P35" i="8"/>
  <c r="M19" i="9"/>
  <c r="P50" i="8"/>
  <c r="F31" i="8"/>
  <c r="Q49" i="8"/>
  <c r="N17" i="9"/>
  <c r="D42" i="8"/>
  <c r="D37" i="8"/>
  <c r="D39" i="8" s="1"/>
  <c r="E32" i="8"/>
  <c r="D41" i="8"/>
  <c r="D40" i="8"/>
  <c r="B64" i="8"/>
  <c r="B70" i="8" s="1"/>
  <c r="B59" i="8"/>
  <c r="D59" i="8"/>
  <c r="D64" i="8"/>
  <c r="D70" i="8" s="1"/>
  <c r="C59" i="8"/>
  <c r="C64" i="8"/>
  <c r="C70" i="8" s="1"/>
  <c r="B48" i="6"/>
  <c r="D29" i="5"/>
  <c r="C43" i="6"/>
  <c r="C45" i="6" s="1"/>
  <c r="F21" i="5"/>
  <c r="F33" i="5"/>
  <c r="G10" i="5"/>
  <c r="M41" i="8" s="1"/>
  <c r="G32" i="5"/>
  <c r="B6" i="10" s="1"/>
  <c r="C6" i="10" s="1"/>
  <c r="P33" i="4"/>
  <c r="G18" i="5" s="1"/>
  <c r="P48" i="4"/>
  <c r="G17" i="5"/>
  <c r="N18" i="9" s="1"/>
  <c r="E24" i="5"/>
  <c r="N51" i="4"/>
  <c r="E28" i="5" s="1"/>
  <c r="T12" i="9" s="1"/>
  <c r="F23" i="5"/>
  <c r="O49" i="4"/>
  <c r="P36" i="8" l="1"/>
  <c r="P37" i="8"/>
  <c r="Q34" i="8"/>
  <c r="O51" i="8"/>
  <c r="O52" i="8"/>
  <c r="P51" i="8"/>
  <c r="P52" i="8"/>
  <c r="F34" i="8"/>
  <c r="F35" i="8" s="1"/>
  <c r="M56" i="8"/>
  <c r="Q19" i="9"/>
  <c r="N19" i="9"/>
  <c r="Q50" i="8"/>
  <c r="Q35" i="8"/>
  <c r="D43" i="8"/>
  <c r="E42" i="8"/>
  <c r="E41" i="8"/>
  <c r="E40" i="8"/>
  <c r="E37" i="8"/>
  <c r="E39" i="8" s="1"/>
  <c r="E43" i="8" s="1"/>
  <c r="F32" i="8"/>
  <c r="B65" i="8"/>
  <c r="B71" i="8" s="1"/>
  <c r="B60" i="8"/>
  <c r="B66" i="8" s="1"/>
  <c r="D65" i="8"/>
  <c r="D71" i="8" s="1"/>
  <c r="D60" i="8"/>
  <c r="D66" i="8" s="1"/>
  <c r="C65" i="8"/>
  <c r="C71" i="8" s="1"/>
  <c r="C60" i="8"/>
  <c r="C66" i="8" s="1"/>
  <c r="C48" i="6"/>
  <c r="E29" i="5"/>
  <c r="D43" i="6"/>
  <c r="D45" i="6" s="1"/>
  <c r="G21" i="5"/>
  <c r="G33" i="5"/>
  <c r="B7" i="10" s="1"/>
  <c r="C7" i="10" s="1"/>
  <c r="F24" i="5"/>
  <c r="O51" i="4"/>
  <c r="F28" i="5" s="1"/>
  <c r="T13" i="9" s="1"/>
  <c r="G23" i="5"/>
  <c r="P49" i="4"/>
  <c r="Q37" i="8" l="1"/>
  <c r="M39" i="8" s="1"/>
  <c r="Q36" i="8"/>
  <c r="Q51" i="8"/>
  <c r="Q52" i="8"/>
  <c r="M54" i="8" s="1"/>
  <c r="F42" i="8"/>
  <c r="F41" i="8"/>
  <c r="F40" i="8"/>
  <c r="F37" i="8"/>
  <c r="F39" i="8" s="1"/>
  <c r="B73" i="8"/>
  <c r="B72" i="8"/>
  <c r="D73" i="8"/>
  <c r="D72" i="8"/>
  <c r="C73" i="8"/>
  <c r="C72" i="8"/>
  <c r="D48" i="6"/>
  <c r="F29" i="5"/>
  <c r="E43" i="6"/>
  <c r="E45" i="6" s="1"/>
  <c r="G24" i="5"/>
  <c r="P51" i="4"/>
  <c r="G28" i="5" s="1"/>
  <c r="T14" i="9" s="1"/>
  <c r="D75" i="8" l="1"/>
  <c r="D77" i="8" s="1"/>
  <c r="D79" i="8" s="1"/>
  <c r="B75" i="8"/>
  <c r="B77" i="8" s="1"/>
  <c r="B79" i="8" s="1"/>
  <c r="C75" i="8"/>
  <c r="C77" i="8" s="1"/>
  <c r="C79" i="8" s="1"/>
  <c r="F43" i="8"/>
  <c r="E48" i="6"/>
  <c r="G29" i="5"/>
  <c r="F43" i="6"/>
  <c r="F45" i="6" s="1"/>
  <c r="D80" i="8" l="1"/>
  <c r="K11" i="9" s="1"/>
  <c r="K10" i="9"/>
  <c r="Q5" i="9"/>
  <c r="M16" i="8" a="1"/>
  <c r="B5" i="8" a="1"/>
  <c r="B80" i="8"/>
  <c r="I11" i="9" s="1"/>
  <c r="Q3" i="9"/>
  <c r="I10" i="9"/>
  <c r="C80" i="8"/>
  <c r="J11" i="9" s="1"/>
  <c r="Q4" i="9"/>
  <c r="J10" i="9"/>
  <c r="M24" i="8" a="1"/>
  <c r="F48" i="6"/>
  <c r="B52" i="6"/>
  <c r="B55" i="6" s="1"/>
  <c r="B57" i="6" s="1"/>
  <c r="B75" i="6"/>
  <c r="B76" i="6" s="1"/>
  <c r="B60" i="6" l="1"/>
  <c r="B73" i="6" s="1"/>
  <c r="B12" i="9" s="1"/>
  <c r="B62" i="6" l="1"/>
  <c r="B71" i="6"/>
  <c r="B9" i="10"/>
  <c r="C9" i="10" s="1"/>
  <c r="B10" i="10" l="1"/>
  <c r="C10" i="10" s="1"/>
  <c r="B64" i="6"/>
  <c r="B17" i="9" l="1"/>
  <c r="E5" i="9"/>
  <c r="B13" i="10"/>
  <c r="C13" i="10" s="1"/>
  <c r="B82" i="8"/>
  <c r="B11" i="10"/>
  <c r="C11" i="10" s="1"/>
  <c r="B66" i="6"/>
  <c r="M5" i="9" l="1"/>
  <c r="C17" i="9"/>
  <c r="B20" i="10"/>
  <c r="C20"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9612B9-258F-404D-A2ED-CF83114F98C9}" keepAlive="1" name="Query - CH_Accounts_Document_Metadata" description="Connection to the 'CH_Accounts_Document_Metadata' query in the workbook." type="5" refreshedVersion="8" background="1" saveData="1">
    <dbPr connection="Provider=Microsoft.Mashup.OleDb.1;Data Source=$Workbook$;Location=CH_Accounts_Document_Metadata;Extended Properties=&quot;&quot;" command="SELECT * FROM [CH_Accounts_Document_Metadata]"/>
  </connection>
  <connection id="2" xr16:uid="{BEFE81D2-4062-4246-B998-D2E6F134F4CF}" keepAlive="1" name="Query - CH_Accounts_Filing_History" description="Connection to the 'CH_Accounts_Filing_History' query in the workbook." type="5" refreshedVersion="8" background="1" saveData="1">
    <dbPr connection="Provider=Microsoft.Mashup.OleDb.1;Data Source=$Workbook$;Location=CH_Accounts_Filing_History;Extended Properties=&quot;&quot;" command="SELECT * FROM [CH_Accounts_Filing_History]"/>
  </connection>
  <connection id="3" xr16:uid="{A866ECB4-9664-4D54-9872-D26245FF74F0}" name="Query - Dim_Concept" description="Connection to the 'Dim_Concept' query in the workbook." type="100" refreshedVersion="8" minRefreshableVersion="5">
    <extLst>
      <ext xmlns:x15="http://schemas.microsoft.com/office/spreadsheetml/2010/11/main" uri="{DE250136-89BD-433C-8126-D09CA5730AF9}">
        <x15:connection id="b1766105-fe54-4fd5-9fbb-755eb283e956"/>
      </ext>
    </extLst>
  </connection>
  <connection id="4" xr16:uid="{1A7020F8-887C-429C-8E5D-594C4448675F}" name="Query - Dim_Period" description="Connection to the 'Dim_Period' query in the workbook." type="100" refreshedVersion="8" minRefreshableVersion="5">
    <extLst>
      <ext xmlns:x15="http://schemas.microsoft.com/office/spreadsheetml/2010/11/main" uri="{DE250136-89BD-433C-8126-D09CA5730AF9}">
        <x15:connection id="a77074bc-550a-49c2-9e53-2ce2788f1fce">
          <x15:oledbPr connection="Provider=Microsoft.Mashup.OleDb.1;Data Source=$Workbook$;Location=Dim_Period;Extended Properties=&quot;&quot;">
            <x15:dbTables>
              <x15:dbTable name="Dim_Period"/>
            </x15:dbTables>
          </x15:oledbPr>
        </x15:connection>
      </ext>
    </extLst>
  </connection>
  <connection id="5" xr16:uid="{FCD80EDB-FCAE-4D53-918E-6A1CB37A7466}" name="Query - Merge1" description="Connection to the 'Merge1' query in the workbook." type="100" refreshedVersion="8" minRefreshableVersion="5">
    <extLst>
      <ext xmlns:x15="http://schemas.microsoft.com/office/spreadsheetml/2010/11/main" uri="{DE250136-89BD-433C-8126-D09CA5730AF9}">
        <x15:connection id="471dd7e4-932a-425a-be4d-96f46d06d628"/>
      </ext>
    </extLst>
  </connection>
  <connection id="6" xr16:uid="{FF877513-8FBD-4F99-AE2D-C14023C32906}" keepAlive="1" name="Query - PQ_Balance_Sheet" description="Connection to the 'PQ_Balance_Sheet' query in the workbook." type="5" refreshedVersion="8" background="1" saveData="1">
    <dbPr connection="Provider=Microsoft.Mashup.OleDb.1;Data Source=$Workbook$;Location=PQ_Balance_Sheet;Extended Properties=&quot;&quot;" command="SELECT * FROM [PQ_Balance_Sheet]"/>
  </connection>
  <connection id="7" xr16:uid="{A441944D-1F97-4CBE-9892-9FF8952A24E3}" keepAlive="1" name="Query - PQ_Cash_Flow" description="Connection to the 'PQ_Cash_Flow' query in the workbook." type="5" refreshedVersion="8" background="1" saveData="1">
    <dbPr connection="Provider=Microsoft.Mashup.OleDb.1;Data Source=$Workbook$;Location=PQ_Cash_Flow;Extended Properties=&quot;&quot;" command="SELECT * FROM [PQ_Cash_Flow]"/>
  </connection>
  <connection id="8" xr16:uid="{5C8CF1AC-59CC-4C01-B01D-297B65865B1D}" name="Query - PQ_Fact_Financials" description="Connection to the 'PQ_Fact_Financials' query in the workbook." type="100" refreshedVersion="8" minRefreshableVersion="5">
    <extLst>
      <ext xmlns:x15="http://schemas.microsoft.com/office/spreadsheetml/2010/11/main" uri="{DE250136-89BD-433C-8126-D09CA5730AF9}">
        <x15:connection id="1e5b0d2b-4286-41e9-8362-3482214acea0"/>
      </ext>
    </extLst>
  </connection>
  <connection id="9" xr16:uid="{4E0C66DE-6D2F-4D6E-8A42-7B5CA999692F}" keepAlive="1" name="Query - PQ_Income_Statement" description="Connection to the 'PQ_Income_Statement' query in the workbook." type="5" refreshedVersion="8" background="1" saveData="1">
    <dbPr connection="Provider=Microsoft.Mashup.OleDb.1;Data Source=$Workbook$;Location=PQ_Income_Statement;Extended Properties=&quot;&quot;" command="SELECT * FROM [PQ_Income_Statement]"/>
  </connection>
  <connection id="10" xr16:uid="{76B2732E-B125-4EDA-8F04-B492336507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<sst xmlns="http://schemas.openxmlformats.org/spreadsheetml/2006/main" count="1130" uniqueCount="748">
  <si>
    <t>FY2016</t>
  </si>
  <si>
    <t>FY2017</t>
  </si>
  <si>
    <t>FY2018</t>
  </si>
  <si>
    <t>FY2019</t>
  </si>
  <si>
    <t>FY2020</t>
  </si>
  <si>
    <t>FY2021</t>
  </si>
  <si>
    <t>FY2022</t>
  </si>
  <si>
    <t>FY2023</t>
  </si>
  <si>
    <t>FY2024</t>
  </si>
  <si>
    <t>FY2025</t>
  </si>
  <si>
    <t>FY2026E</t>
  </si>
  <si>
    <t>FY2027E</t>
  </si>
  <si>
    <t>FY2028E</t>
  </si>
  <si>
    <t>FY2029E</t>
  </si>
  <si>
    <t>FY2030E</t>
  </si>
  <si>
    <t>Rolls-Royce Holdings plc| Historical Financials</t>
  </si>
  <si>
    <t>All figures in £m, unless stated otherwise | Year ended 31 December</t>
  </si>
  <si>
    <t>Financial Year</t>
  </si>
  <si>
    <t>INCOME STATEMENT</t>
  </si>
  <si>
    <t>Revenue</t>
  </si>
  <si>
    <t>Underlying Operating Profit</t>
  </si>
  <si>
    <t>Underlying EBIT Margin %</t>
  </si>
  <si>
    <t>Reported Operating Profit</t>
  </si>
  <si>
    <t>Reported EBIT Margin %</t>
  </si>
  <si>
    <t>Profit Before Tax</t>
  </si>
  <si>
    <t>Effective Tax Rate %</t>
  </si>
  <si>
    <t>Diluted EPS (p)</t>
  </si>
  <si>
    <t>CASH FLOW / FCF</t>
  </si>
  <si>
    <t>Capital Expenditure</t>
  </si>
  <si>
    <t>Cash Tax Paid</t>
  </si>
  <si>
    <t>Unlevered Free Cash Flow</t>
  </si>
  <si>
    <t>FCF Margin %</t>
  </si>
  <si>
    <t>BALANCE SHEET / VALUATION</t>
  </si>
  <si>
    <t>Cash and Cash Equivalents</t>
  </si>
  <si>
    <t>Net Debt / (Net Cash)</t>
  </si>
  <si>
    <t>Diluted Shares Outstanding (m)</t>
  </si>
  <si>
    <t>SEGMENT REVENUE</t>
  </si>
  <si>
    <t>Civil Aerospace Revenue</t>
  </si>
  <si>
    <t>Defence Revenue</t>
  </si>
  <si>
    <t>Power Systems Revenue</t>
  </si>
  <si>
    <t>Inter-segment / Eliminations</t>
  </si>
  <si>
    <t>Group Underlying Revenue</t>
  </si>
  <si>
    <t>SEGMENT PROFITABILITY</t>
  </si>
  <si>
    <t>Civil Aerospace Operating Profit</t>
  </si>
  <si>
    <t>Civil Aerospace Margin %</t>
  </si>
  <si>
    <t>Defence Operating Profit</t>
  </si>
  <si>
    <t>Defence Margin %</t>
  </si>
  <si>
    <t>Power Systems Operating Profit</t>
  </si>
  <si>
    <t>Power Systems Margin %</t>
  </si>
  <si>
    <t>Type</t>
  </si>
  <si>
    <t>Status</t>
  </si>
  <si>
    <t>Notes</t>
  </si>
  <si>
    <t>RR_Annual_Report_2016.pdf</t>
  </si>
  <si>
    <t>Downloaded</t>
  </si>
  <si>
    <t>RR_Annual_Report_2017.pdf</t>
  </si>
  <si>
    <t>RR_Annual_Report_2018.pdf</t>
  </si>
  <si>
    <t>RR_Annual_Report_2019.pdf</t>
  </si>
  <si>
    <t>RR_Annual_Report_2020.pdf</t>
  </si>
  <si>
    <t>RR_Annual_Report_2021.pdf</t>
  </si>
  <si>
    <t>RR_Annual_Report_2022.pdf</t>
  </si>
  <si>
    <t>RR_Annual_Report_2023.pdf</t>
  </si>
  <si>
    <t>RR_Annual_Report_2024.pdf</t>
  </si>
  <si>
    <t>RR_FY2025_Results.pdf</t>
  </si>
  <si>
    <t>Document Type</t>
  </si>
  <si>
    <t>Annual Report</t>
  </si>
  <si>
    <t>Full Year Results</t>
  </si>
  <si>
    <t>File Name</t>
  </si>
  <si>
    <t xml:space="preserve">Primary Use </t>
  </si>
  <si>
    <t>Audited historical financial statements</t>
  </si>
  <si>
    <t>Headline underlying and statutory results</t>
  </si>
  <si>
    <t>Year ended 31 December 2016</t>
  </si>
  <si>
    <t>Year ended 31 December 2017</t>
  </si>
  <si>
    <t>Year ended 31 December 2018</t>
  </si>
  <si>
    <t>Year ended 31 December 2019</t>
  </si>
  <si>
    <t>Year ended 31 December 2020</t>
  </si>
  <si>
    <t>Year ended 31 December 2021</t>
  </si>
  <si>
    <t>Year ended 31 December 2022</t>
  </si>
  <si>
    <t>Year ended 31 December 2023</t>
  </si>
  <si>
    <t>Year ended 31 December 2024</t>
  </si>
  <si>
    <t>Year ended 31 December 2025</t>
  </si>
  <si>
    <t>Reported Revenue</t>
  </si>
  <si>
    <t>Underlying Revenue</t>
  </si>
  <si>
    <t>YoY Underlying Revenue Growth %</t>
  </si>
  <si>
    <t>Net Financing Income / (Cost)</t>
  </si>
  <si>
    <t>Working Capital Cash Impact</t>
  </si>
  <si>
    <t>Company-Reported Free Cash Flow</t>
  </si>
  <si>
    <t>Net Income Attributable to Ordinary Shareholders</t>
  </si>
  <si>
    <t>Gain / (Loss) on Disposal of Businesses</t>
  </si>
  <si>
    <t>Diluted Weighted-Average Shares (m)</t>
  </si>
  <si>
    <t>Depreciation, Amortisation &amp; Impairment (Funds Flow Basis)</t>
  </si>
  <si>
    <t>Capital Expenditure (PPE + Intangibles)</t>
  </si>
  <si>
    <t>N/M</t>
  </si>
  <si>
    <t>Other / Legacy / New Markets Revenue</t>
  </si>
  <si>
    <t>Other / Corporate Operating Profit/(Loss)</t>
  </si>
  <si>
    <t>Taxation (Charge) / Credit</t>
  </si>
  <si>
    <t>Cash and Cash Equivalents (Balance Sheet)</t>
  </si>
  <si>
    <t>Gross Borrowings (Excluding Lease Liabilities)</t>
  </si>
  <si>
    <t>Segment Revenue Reconciliation Check</t>
  </si>
  <si>
    <t>Power Systems</t>
  </si>
  <si>
    <t>Other/Legacy/New Markets Revenue</t>
  </si>
  <si>
    <t>YoY Growth %</t>
  </si>
  <si>
    <t>Forecast Support</t>
  </si>
  <si>
    <t>Metric</t>
  </si>
  <si>
    <t>Value</t>
  </si>
  <si>
    <t>Civil Aerospace 3Y CAGR</t>
  </si>
  <si>
    <t>Defence 3Y CAGR</t>
  </si>
  <si>
    <t>Power Systems 3Y CAGR</t>
  </si>
  <si>
    <t>Group</t>
  </si>
  <si>
    <t>Group Revenue 3Y CAGR</t>
  </si>
  <si>
    <t>Civil Normalised Growth</t>
  </si>
  <si>
    <t>Civil FY2025 Growth</t>
  </si>
  <si>
    <t>Defence</t>
  </si>
  <si>
    <t>Defence FY2025 Growth</t>
  </si>
  <si>
    <t>Power Systems FY2025 Growth</t>
  </si>
  <si>
    <t>Group FY2025 Growth</t>
  </si>
  <si>
    <t>Defence Normalised Growth</t>
  </si>
  <si>
    <t>Power Systems Normalised Growth</t>
  </si>
  <si>
    <t>Group Normalised Growth</t>
  </si>
  <si>
    <t>FY2026E BASE CASE</t>
  </si>
  <si>
    <t>Civil Aerospace Growth</t>
  </si>
  <si>
    <t>Defence Growth</t>
  </si>
  <si>
    <t>Power Systems Growth</t>
  </si>
  <si>
    <t>Civil Aerospace 2016-25 CAGR</t>
  </si>
  <si>
    <t>Defence 2016-25 CAGR</t>
  </si>
  <si>
    <t>Power Systems 2016-25 CAGR</t>
  </si>
  <si>
    <t>Group Revenue 2016-25 CAGR</t>
  </si>
  <si>
    <t>MARGIN DRIVERS</t>
  </si>
  <si>
    <t>OPERATING DRIVERS</t>
  </si>
  <si>
    <t>Civil Aerospace EBIT Margin</t>
  </si>
  <si>
    <t>Defence EBIT Margin</t>
  </si>
  <si>
    <t>Power Systems EBIT Margin</t>
  </si>
  <si>
    <t>Group Underlying EBIT Margin</t>
  </si>
  <si>
    <t>2028 MID-TERM MARGIN TARGETS</t>
  </si>
  <si>
    <t>Civil Aerospace</t>
  </si>
  <si>
    <t>OPERATING PROFIT BUILD</t>
  </si>
  <si>
    <t>Group Underlying Operating Profit</t>
  </si>
  <si>
    <t>MODEL CROSS-CHECK</t>
  </si>
  <si>
    <t>FY2026E Model Operating Profit</t>
  </si>
  <si>
    <t>FY2026 Guidance Low</t>
  </si>
  <si>
    <t>FY2026 Guidance High</t>
  </si>
  <si>
    <t>FY2026 Guidance Check</t>
  </si>
  <si>
    <t>FY2028E Model Operating Profit</t>
  </si>
  <si>
    <t>FY2028 Target Low</t>
  </si>
  <si>
    <t>FY2028 Target High</t>
  </si>
  <si>
    <t>FY2028 Profit Check</t>
  </si>
  <si>
    <t>FY2028 Margin Target High</t>
  </si>
  <si>
    <t>FY2028 Margin Check</t>
  </si>
  <si>
    <t>FY2028 Margin Target Low</t>
  </si>
  <si>
    <t>FY2028E Model EBIT Margin</t>
  </si>
  <si>
    <t>FY2028 Profit vs Target High</t>
  </si>
  <si>
    <t>CASH FLOW DRIVERS</t>
  </si>
  <si>
    <t>D&amp;A as % of Revenue</t>
  </si>
  <si>
    <t>Capex as % of Revenue</t>
  </si>
  <si>
    <t>Working Capital as % of Revenue</t>
  </si>
  <si>
    <t>Effective Tax Rate</t>
  </si>
  <si>
    <t>NORMALISED CASH FLOW DRIVERS</t>
  </si>
  <si>
    <t>D&amp;A % of Revenue</t>
  </si>
  <si>
    <t>Capex % of Revenue</t>
  </si>
  <si>
    <t>Working Capital Cash Impact % of Revenue</t>
  </si>
  <si>
    <t>Normalised Operating Tax Rate</t>
  </si>
  <si>
    <t>3Y Aggregate Effective Tax Rate</t>
  </si>
  <si>
    <t>5Y Aggregate Effective Tax Rate</t>
  </si>
  <si>
    <t>Tax Forecast Method</t>
  </si>
  <si>
    <t>Normalised marginal tax rate</t>
  </si>
  <si>
    <t>Operating Tax Expense</t>
  </si>
  <si>
    <t>NOPAT</t>
  </si>
  <si>
    <t>D&amp;A / Non-Cash Add-backs</t>
  </si>
  <si>
    <t>ROLLS-ROYCE FORECAST MODEL</t>
  </si>
  <si>
    <t>REVENUE</t>
  </si>
  <si>
    <t>FY2025A</t>
  </si>
  <si>
    <t>OPERATING PROFIT</t>
  </si>
  <si>
    <t>Underlying</t>
  </si>
  <si>
    <t>EBIT</t>
  </si>
  <si>
    <t xml:space="preserve"> Group Underlying Operating Profit</t>
  </si>
  <si>
    <t>Group EBIT Margin</t>
  </si>
  <si>
    <t>UNLEVERED FREE CASH FLOW</t>
  </si>
  <si>
    <t xml:space="preserve"> Operating Tax Rate</t>
  </si>
  <si>
    <t>UFCF Margin</t>
  </si>
  <si>
    <t>MODEL CHECK</t>
  </si>
  <si>
    <t>Segment Revenue Reconciliation</t>
  </si>
  <si>
    <t>Segment Operating Profit Reconciliation</t>
  </si>
  <si>
    <t>H1 2026 ACTUALS / UPDATED GUIDANCE</t>
  </si>
  <si>
    <t>H1 2026 Underlying Revenue</t>
  </si>
  <si>
    <t>H1 2026 Underlying Operating Profit</t>
  </si>
  <si>
    <t>H1 2026 Group EBIT Margin</t>
  </si>
  <si>
    <t>FY2026 Guidance Midpoint</t>
  </si>
  <si>
    <t>H1 2026 DIVISIONAL MARGINS</t>
  </si>
  <si>
    <t>Civil H1 Revenue</t>
  </si>
  <si>
    <t>Civil H1 Operating Profit</t>
  </si>
  <si>
    <t>Defence H1 Revenue</t>
  </si>
  <si>
    <t>Defence H1 Operating Profit</t>
  </si>
  <si>
    <t>Power Systems H1 Revenue</t>
  </si>
  <si>
    <t>Power Systems H1 Operating Profit</t>
  </si>
  <si>
    <t>All Other Businesses H1 Revenue</t>
  </si>
  <si>
    <t>All Other Businesses H1 Operating Profit/(Loss)</t>
  </si>
  <si>
    <t>Corporate / Eliminations H1 Profit/(Loss)</t>
  </si>
  <si>
    <t>H1 2025 COMPARATIVES</t>
  </si>
  <si>
    <t>Civil H1 2025 Revenue</t>
  </si>
  <si>
    <t>Defence H1 2025 Revenue</t>
  </si>
  <si>
    <t>Power Systems H1 2025 Revenue</t>
  </si>
  <si>
    <t>All Other H1 2025 Revenue</t>
  </si>
  <si>
    <t>Civil H2 2025 Revenue</t>
  </si>
  <si>
    <t>Defence H2 2025 Revenue</t>
  </si>
  <si>
    <t>Power Systems H2 2025 Revenue</t>
  </si>
  <si>
    <t>Other H2 2025 Revenue</t>
  </si>
  <si>
    <t>Civil H2 2026 Forecast</t>
  </si>
  <si>
    <t>Defence H2 2026 Forecast</t>
  </si>
  <si>
    <t>Power Systems H2 2026 Forecast</t>
  </si>
  <si>
    <t>Other H2 2026 Forecast</t>
  </si>
  <si>
    <t>Civil FY2026E Updated</t>
  </si>
  <si>
    <t>Defence FY2026E Updated</t>
  </si>
  <si>
    <t>Power Systems FY2026E Updated</t>
  </si>
  <si>
    <t>Other FY2026E Updated</t>
  </si>
  <si>
    <t>Group FY2026E Updated</t>
  </si>
  <si>
    <t>H2 2026 NORMALISED MARGINS</t>
  </si>
  <si>
    <t>Civil Aerospace H2 Margin</t>
  </si>
  <si>
    <t>Defence H2 Margin</t>
  </si>
  <si>
    <t>Power Systems H2 Margin</t>
  </si>
  <si>
    <t>H1 2025 Other / Corporate Profit/(Loss)</t>
  </si>
  <si>
    <t>H2 2025 Other / Corporate Profit/(Loss)</t>
  </si>
  <si>
    <t>H2 2026 OPERATING PROFIT</t>
  </si>
  <si>
    <t>Civil Aerospace H2 Operating Profit</t>
  </si>
  <si>
    <t>Defence H2 Operating Profit</t>
  </si>
  <si>
    <t>Power Systems H2 Operating Profit</t>
  </si>
  <si>
    <t>Other / Corporate H2 Operating Profit</t>
  </si>
  <si>
    <t>FY2026E UPDATED OPERATING PROFIT</t>
  </si>
  <si>
    <t>Other / Corporate</t>
  </si>
  <si>
    <t>Group FY2026E Operating Profit</t>
  </si>
  <si>
    <t>Group FY2026E EBIT Margin</t>
  </si>
  <si>
    <t>Updated FY2026 Guidance Check</t>
  </si>
  <si>
    <t>ROLLS-ROYCE</t>
  </si>
  <si>
    <t>ROLLS-ROYCE DCF VALUATION</t>
  </si>
  <si>
    <t>VALUATION PARAMETERS</t>
  </si>
  <si>
    <t>Valuation Reference Date</t>
  </si>
  <si>
    <t>Currency / Units</t>
  </si>
  <si>
    <t>GBP £m</t>
  </si>
  <si>
    <t>WACC</t>
  </si>
  <si>
    <t>Risk-Free Rate</t>
  </si>
  <si>
    <t>Beta</t>
  </si>
  <si>
    <t>Equity Risk Premium</t>
  </si>
  <si>
    <t>Cost of Equity</t>
  </si>
  <si>
    <t>H1 2026 Underlying Interest Payable</t>
  </si>
  <si>
    <t>Debt + Lease Liabilities -  Dec 2025</t>
  </si>
  <si>
    <t>Debt + Lease Liabilities - Jun 2026</t>
  </si>
  <si>
    <t>Pre-Tax Cost of Debt</t>
  </si>
  <si>
    <t>Normalised Tax Rate</t>
  </si>
  <si>
    <t>After-Tax Cost of Debt</t>
  </si>
  <si>
    <t>Share Price - 30 Jun 2026 (£)</t>
  </si>
  <si>
    <t>Market Value of Equity</t>
  </si>
  <si>
    <t>Debt + Lease Liabilities</t>
  </si>
  <si>
    <t>Equity Weight</t>
  </si>
  <si>
    <t>Debt Weight</t>
  </si>
  <si>
    <t>Terminal Growth Rate</t>
  </si>
  <si>
    <t>H1 2026 UFCF SUPPORT</t>
  </si>
  <si>
    <t>H1 Underlying EBIT</t>
  </si>
  <si>
    <t>H1 2026 UFCF</t>
  </si>
  <si>
    <t>DCF VALUATION</t>
  </si>
  <si>
    <t>FY2026 Stub</t>
  </si>
  <si>
    <t>Full-Year UFCF</t>
  </si>
  <si>
    <t>Less: H1 2026 UFCF</t>
  </si>
  <si>
    <t>DCF Cash Flow</t>
  </si>
  <si>
    <t>Discount Period</t>
  </si>
  <si>
    <t>Discount Factor</t>
  </si>
  <si>
    <t>PV of UFCF</t>
  </si>
  <si>
    <t>TERMINAL VALUE</t>
  </si>
  <si>
    <t>FY2030 UFCF</t>
  </si>
  <si>
    <t>Terminal Growth</t>
  </si>
  <si>
    <t>Terminal Value</t>
  </si>
  <si>
    <t>Terminal Discount Period</t>
  </si>
  <si>
    <t>PV of Terminal Value</t>
  </si>
  <si>
    <t>Enterprise Value</t>
  </si>
  <si>
    <t>Net Cash</t>
  </si>
  <si>
    <t>Equity Value</t>
  </si>
  <si>
    <t>Diluted Shares (m)</t>
  </si>
  <si>
    <t>Implied Value per Share (£)</t>
  </si>
  <si>
    <t>Reference Share Price (£)</t>
  </si>
  <si>
    <t>Upside / (Downside)</t>
  </si>
  <si>
    <t>MARKET VALUATION CROSS-CHECK</t>
  </si>
  <si>
    <t>Reference Market Capitalisation</t>
  </si>
  <si>
    <t>Reference Market Enterprise Value</t>
  </si>
  <si>
    <t>DCF Enterprise Value Discount to Market</t>
  </si>
  <si>
    <t>Terminal Value % of Enterprise Value</t>
  </si>
  <si>
    <t>FY2030E UFCF</t>
  </si>
  <si>
    <t>Market EV / FY2030E UFCF</t>
  </si>
  <si>
    <t>ROLLS-ROYCE DCF SENSITIVITY</t>
  </si>
  <si>
    <t>WACC × TERMINAL GROWTH SENSITIVITY</t>
  </si>
  <si>
    <t>Sensitivity WACC Input</t>
  </si>
  <si>
    <t>Sensitivity Terminal Growth Input</t>
  </si>
  <si>
    <t>MARKET-IMPLIED WACC</t>
  </si>
  <si>
    <t>Target Share Price</t>
  </si>
  <si>
    <t>WACC Input</t>
  </si>
  <si>
    <t>Implied Share Price</t>
  </si>
  <si>
    <t>Market-Implied WACC</t>
  </si>
  <si>
    <t>MARKET-IMPLIED TERMINAL GROWTH</t>
  </si>
  <si>
    <t>Terminal Growth Input</t>
  </si>
  <si>
    <t>Market-Implied Terminal Growth</t>
  </si>
  <si>
    <t>OPERATING SCENARIO ANALYSIS</t>
  </si>
  <si>
    <t>Assumption</t>
  </si>
  <si>
    <t>Bear</t>
  </si>
  <si>
    <t>Base</t>
  </si>
  <si>
    <t>Bull</t>
  </si>
  <si>
    <t>Revenue Growth Adjustment</t>
  </si>
  <si>
    <t>EBIT Margin Adjustment</t>
  </si>
  <si>
    <t>WACC Adjustment</t>
  </si>
  <si>
    <t>Selected Scenario</t>
  </si>
  <si>
    <t>Selected Revenue Growth Adjustment</t>
  </si>
  <si>
    <t>Selected EBIT Margin Adjustment</t>
  </si>
  <si>
    <t>Selected WACC Adjustment</t>
  </si>
  <si>
    <t>Selected Terminal Growth</t>
  </si>
  <si>
    <t>SCENARIO FORECAST</t>
  </si>
  <si>
    <t>Base Revenue</t>
  </si>
  <si>
    <t>Scenario Revenue</t>
  </si>
  <si>
    <t>Base EBIT Margin</t>
  </si>
  <si>
    <t>Scenario EBIT Margin</t>
  </si>
  <si>
    <t>Scenario EBIT</t>
  </si>
  <si>
    <t>Scenario NOPAT</t>
  </si>
  <si>
    <t>Scenario UFCF</t>
  </si>
  <si>
    <t>Scenario WACC</t>
  </si>
  <si>
    <t>Scenario Terminal Growth</t>
  </si>
  <si>
    <t>BEAR / BASE / BULL VALUATION</t>
  </si>
  <si>
    <t>FY2026E Revenue</t>
  </si>
  <si>
    <t>FY2027E Revenue</t>
  </si>
  <si>
    <t>FY2028E Revenue</t>
  </si>
  <si>
    <t>FY2029E Revenue</t>
  </si>
  <si>
    <t>FY2030E Revenue</t>
  </si>
  <si>
    <t>FY2026E UFCF</t>
  </si>
  <si>
    <t>FY2027E UFCF</t>
  </si>
  <si>
    <t>FY2028E UFCF</t>
  </si>
  <si>
    <t>FY2029E UFCF</t>
  </si>
  <si>
    <t>PV - FY2026E Stub</t>
  </si>
  <si>
    <t>Implied Value / Share (£)</t>
  </si>
  <si>
    <t>Base Case Reconciliation</t>
  </si>
  <si>
    <t>COMPARABLE</t>
  </si>
  <si>
    <t>COMPANIES</t>
  </si>
  <si>
    <t>TRADING</t>
  </si>
  <si>
    <t>COMPARABLES</t>
  </si>
  <si>
    <t>Company</t>
  </si>
  <si>
    <t>Ticker</t>
  </si>
  <si>
    <t>Primary Exposure</t>
  </si>
  <si>
    <t>Market Cap</t>
  </si>
  <si>
    <t>EV/Revenue</t>
  </si>
  <si>
    <t>EV/EBIT</t>
  </si>
  <si>
    <t>EV/EBITDA</t>
  </si>
  <si>
    <t>GE</t>
  </si>
  <si>
    <t>Safran</t>
  </si>
  <si>
    <t>RTX</t>
  </si>
  <si>
    <t>Rolls-Royce</t>
  </si>
  <si>
    <t>GE Aerospace</t>
  </si>
  <si>
    <t>MTU Aero Engines</t>
  </si>
  <si>
    <t>BAE Systems</t>
  </si>
  <si>
    <t>SAF</t>
  </si>
  <si>
    <t>MTX</t>
  </si>
  <si>
    <t>BA.</t>
  </si>
  <si>
    <t>RR.</t>
  </si>
  <si>
    <t>MARKET DATA SUPPORT</t>
  </si>
  <si>
    <t>Shares Outstanding (m)</t>
  </si>
  <si>
    <t>Share Price - 30 Jun 2026</t>
  </si>
  <si>
    <t>Net Debt / (Cash)</t>
  </si>
  <si>
    <t>FY2025 Revenue / Sales (Local £/€/$m)</t>
  </si>
  <si>
    <t>FY2025 EBIT / Operating Profit (Local £/€/$m)</t>
  </si>
  <si>
    <t>FY2025 EBITDA (Local £/€/$m)</t>
  </si>
  <si>
    <t>Metric Basis</t>
  </si>
  <si>
    <t>Adjusted</t>
  </si>
  <si>
    <t>Sales / Underlying EBIT</t>
  </si>
  <si>
    <t>PEER VALUATION SUMMARY</t>
  </si>
  <si>
    <t>Statistic</t>
  </si>
  <si>
    <t>EV / Revenue</t>
  </si>
  <si>
    <t>EV / EBIT</t>
  </si>
  <si>
    <t>Minimum</t>
  </si>
  <si>
    <t>25th Percentile</t>
  </si>
  <si>
    <t>Median</t>
  </si>
  <si>
    <t>75th Percentile</t>
  </si>
  <si>
    <t>Maximum</t>
  </si>
  <si>
    <t>ROLLS-ROYCE CURRENT TRADING</t>
  </si>
  <si>
    <t>IMPLIED VALUATION</t>
  </si>
  <si>
    <t>Peer Median Multiple</t>
  </si>
  <si>
    <t>Rolls-Royce FY2025 Metric</t>
  </si>
  <si>
    <t>Implied Enterprise Value</t>
  </si>
  <si>
    <t>Implied Equity Value</t>
  </si>
  <si>
    <t>Comps Midpoint Value / Share</t>
  </si>
  <si>
    <t>Comps Midpoint Upside / (Downside)</t>
  </si>
  <si>
    <t>ROLLS-ROYCE MODEL CHECKS</t>
  </si>
  <si>
    <t>MODEL INTEGRITY CHECKS</t>
  </si>
  <si>
    <t>Check</t>
  </si>
  <si>
    <t>Difference/Result</t>
  </si>
  <si>
    <t>Forecast Revenue Reconcilliation</t>
  </si>
  <si>
    <t>Forecast Operating Profit Reconciliation</t>
  </si>
  <si>
    <t>WACC Capital Structure Weights</t>
  </si>
  <si>
    <t>DCF Enterprise Value Reconciliation</t>
  </si>
  <si>
    <t>DCF Equity Value Reconciliation</t>
  </si>
  <si>
    <t>DCF Per-Share Value Reconciliation</t>
  </si>
  <si>
    <t>WACC Greater Than Terminal Growth</t>
  </si>
  <si>
    <t>Sensitivity Base Case Reconciliation</t>
  </si>
  <si>
    <t>Scenario Base Case Reconciliation</t>
  </si>
  <si>
    <t>Comps Market Cap Link</t>
  </si>
  <si>
    <t>Comps Enterprise Value Link</t>
  </si>
  <si>
    <t>Rolls-Royce Net Cash Consistency</t>
  </si>
  <si>
    <t>Historical Segment Revenue Reconciliation</t>
  </si>
  <si>
    <t>OVERALL MODEL STATUS</t>
  </si>
  <si>
    <t>Filing Date</t>
  </si>
  <si>
    <t>Description</t>
  </si>
  <si>
    <t>Transaction ID</t>
  </si>
  <si>
    <t>Pages</t>
  </si>
  <si>
    <t>Document Metadata URL</t>
  </si>
  <si>
    <t>accounts-with-accounts-type-group</t>
  </si>
  <si>
    <t>AA</t>
  </si>
  <si>
    <t>MzUyMjI0MjIwOGFkaXF6a2N4</t>
  </si>
  <si>
    <t>https://document-api.company-information.service.gov.uk/document/290Q5B-syFwHjOrC0QjgmMAAfVgDHxEfsIuWAOXgjqU</t>
  </si>
  <si>
    <t>accounts-with-accounts-type-interim</t>
  </si>
  <si>
    <t>MzQ3NTk0NzAyOWFkaXF6a2N4</t>
  </si>
  <si>
    <t>https://document-api.company-information.service.gov.uk/document/QdXJlhFCAD6T2HecXHegyaS3DP11B32l_X0qCZc-CEg</t>
  </si>
  <si>
    <t>MzQ2ODEyNzY4OGFkaXF6a2N4</t>
  </si>
  <si>
    <t>https://document-api.company-information.service.gov.uk/document/72hnZAT_ppnmu0QqusJ5Bt_pceo_eRbw0GRv0UnE4Lo</t>
  </si>
  <si>
    <t>MzQyNDAyMzA3NWFkaXF6a2N4</t>
  </si>
  <si>
    <t>https://document-api.company-information.service.gov.uk/document/3_4-ebq6mZMDFYWf4-ds_JAcHFCgn1_TSjmlFtlZMAk</t>
  </si>
  <si>
    <t>MzM4MDk4NTQzNmFkaXF6a2N4</t>
  </si>
  <si>
    <t>https://document-api.company-information.service.gov.uk/document/O_EGT67idS0v18_lZom9ogdBnC2s0jThMe67ObbCUm8</t>
  </si>
  <si>
    <t>MzM0MzE0MzA0NWFkaXF6a2N4</t>
  </si>
  <si>
    <t>https://document-api.company-information.service.gov.uk/document/7LSEKyocjBYqV865FgqZBB72elBIGDt0lXP4K4UhAC8</t>
  </si>
  <si>
    <t>MzMwMTg2MjMzNWFkaXF6a2N4</t>
  </si>
  <si>
    <t>https://document-api.company-information.service.gov.uk/document/agGIAlm2lS8YcZnrAXIy4kpybF0I8JDRtNuoBDKcSKA</t>
  </si>
  <si>
    <t>MzI3MjQzMjUxOWFkaXF6a2N4</t>
  </si>
  <si>
    <t>https://document-api.company-information.service.gov.uk/document/Lo06G6Nh5M7GV1lDrJYR7bNNdpbB54rb-wqaboCGx0c</t>
  </si>
  <si>
    <t>MzIzNTAyODA1N2FkaXF6a2N4</t>
  </si>
  <si>
    <t>https://document-api.company-information.service.gov.uk/document/GRgErn0BHOAPE-9Lb10WuRlZEqK8dMakqIHA3ERfij0</t>
  </si>
  <si>
    <t>accounts-amended-with-accounts-type-group</t>
  </si>
  <si>
    <t>AAMD</t>
  </si>
  <si>
    <t>MzIwNTE5MTg0OGFkaXF6a2N4</t>
  </si>
  <si>
    <t>https://document-api.company-information.service.gov.uk/document/TywIBuwm5kwmt9wdR0RDWR3rR6gEV2nWILnPFijapc4</t>
  </si>
  <si>
    <t>MzIwMTg0OTgyMWFkaXF6a2N4</t>
  </si>
  <si>
    <t>https://document-api.company-information.service.gov.uk/document/1-GudCzAZceEvqtIzon7Jto32scEKT2qUhOqwZ7enxM</t>
  </si>
  <si>
    <t>MzE3NTU2NjYwN2FkaXF6a2N4</t>
  </si>
  <si>
    <t>https://document-api.company-information.service.gov.uk/document/8NuWvPtR_MvQoXb03A_Nzsv621EvlsMw9fN1WzIFuZo</t>
  </si>
  <si>
    <t>MzE1MDYxNjM3NmFkaXF6a2N4</t>
  </si>
  <si>
    <t>https://document-api.company-information.service.gov.uk/document/75Qcvlk0Son15er3NHNOTDnnuwcROTWvsUOmgQFc-Jw</t>
  </si>
  <si>
    <t>MzEyNDQ0Njc4MmFkaXF6a2N4</t>
  </si>
  <si>
    <t>https://document-api.company-information.service.gov.uk/document/HPtj1EXKELOTJ7BHgb-zFZz4m1cLp86nS-PXsSXIGFs</t>
  </si>
  <si>
    <t>MzA5OTMyNTc5OWFkaXF6a2N4</t>
  </si>
  <si>
    <t>https://document-api.company-information.service.gov.uk/document/JeEfv13Oi7XV-yye4O3I0_h3eE6srbzioySbAp3gp2g</t>
  </si>
  <si>
    <t>MzA3Nzg4ODk0MGFkaXF6a2N4</t>
  </si>
  <si>
    <t>https://document-api.company-information.service.gov.uk/document/enPFg5cubYmn8l7e4iF5F7VvfVfq8_zCaQk9Mf8bebQ</t>
  </si>
  <si>
    <t>MzA1NjI4MzkxMGFkaXF6a2N4</t>
  </si>
  <si>
    <t>https://document-api.company-information.service.gov.uk/document/vW3waOLKluD6_4uQyYzgN-eKArj05DkopCvDC6_ztdc</t>
  </si>
  <si>
    <t>change-account-reference-date-company-current-shortened</t>
  </si>
  <si>
    <t>AA01</t>
  </si>
  <si>
    <t>MzAzOTI2MTQzNWFkaXF6a2N4</t>
  </si>
  <si>
    <t>https://document-api.company-information.service.gov.uk/document/ukfHAHwpUHKjGLfxObzH6mCXMzmYXd9xm0sXWw45Kus</t>
  </si>
  <si>
    <t>accounts-balance-sheet</t>
  </si>
  <si>
    <t>BS</t>
  </si>
  <si>
    <t>MzAzMzQ1NDE0OGFkaXF6a2N4</t>
  </si>
  <si>
    <t>https://document-api.company-information.service.gov.uk/document/f0d6nLGIW5BCRuQ1ujXm6keZ7WQl89e_RQzUlSaW6hE</t>
  </si>
  <si>
    <t>Document ID</t>
  </si>
  <si>
    <t>Available Content Types</t>
  </si>
  <si>
    <t>PDF Available</t>
  </si>
  <si>
    <t>XHTML Available</t>
  </si>
  <si>
    <t>XML Available</t>
  </si>
  <si>
    <t>JSON Available</t>
  </si>
  <si>
    <t>290Q5B-syFwHjOrC0QjgmMAAfVgDHxEfsIuWAOXgjqU</t>
  </si>
  <si>
    <t>application/pdf</t>
  </si>
  <si>
    <t>QdXJlhFCAD6T2HecXHegyaS3DP11B32l_X0qCZc-CEg</t>
  </si>
  <si>
    <t>72hnZAT_ppnmu0QqusJ5Bt_pceo_eRbw0GRv0UnE4Lo</t>
  </si>
  <si>
    <t>3_4-ebq6mZMDFYWf4-ds_JAcHFCgn1_TSjmlFtlZMAk</t>
  </si>
  <si>
    <t>O_EGT67idS0v18_lZom9ogdBnC2s0jThMe67ObbCUm8</t>
  </si>
  <si>
    <t>7LSEKyocjBYqV865FgqZBB72elBIGDt0lXP4K4UhAC8</t>
  </si>
  <si>
    <t>agGIAlm2lS8YcZnrAXIy4kpybF0I8JDRtNuoBDKcSKA</t>
  </si>
  <si>
    <t>Lo06G6Nh5M7GV1lDrJYR7bNNdpbB54rb-wqaboCGx0c</t>
  </si>
  <si>
    <t>GRgErn0BHOAPE-9Lb10WuRlZEqK8dMakqIHA3ERfij0</t>
  </si>
  <si>
    <t>TywIBuwm5kwmt9wdR0RDWR3rR6gEV2nWILnPFijapc4</t>
  </si>
  <si>
    <t>1-GudCzAZceEvqtIzon7Jto32scEKT2qUhOqwZ7enxM</t>
  </si>
  <si>
    <t>8NuWvPtR_MvQoXb03A_Nzsv621EvlsMw9fN1WzIFuZo</t>
  </si>
  <si>
    <t>75Qcvlk0Son15er3NHNOTDnnuwcROTWvsUOmgQFc-Jw</t>
  </si>
  <si>
    <t>HPtj1EXKELOTJ7BHgb-zFZz4m1cLp86nS-PXsSXIGFs</t>
  </si>
  <si>
    <t>JeEfv13Oi7XV-yye4O3I0_h3eE6srbzioySbAp3gp2g</t>
  </si>
  <si>
    <t>enPFg5cubYmn8l7e4iF5F7VvfVfq8_zCaQk9Mf8bebQ</t>
  </si>
  <si>
    <t>vW3waOLKluD6_4uQyYzgN-eKArj05DkopCvDC6_ztdc</t>
  </si>
  <si>
    <t>ukfHAHwpUHKjGLfxObzH6mCXMzmYXd9xm0sXWw45Kus</t>
  </si>
  <si>
    <t>f0d6nLGIW5BCRuQ1ujXm6keZ7WQl89e_RQzUlSaW6hE</t>
  </si>
  <si>
    <t>Financial Statement Line</t>
  </si>
  <si>
    <t>Cost of sales 1, 2</t>
  </si>
  <si>
    <t>Gross profit</t>
  </si>
  <si>
    <t>Commercial and administrative costs</t>
  </si>
  <si>
    <t>Research and development costs 2</t>
  </si>
  <si>
    <t>Share of results of joint ventures and associates</t>
  </si>
  <si>
    <t>Operating profit</t>
  </si>
  <si>
    <t>Gain arising on disposal of businesses 3</t>
  </si>
  <si>
    <t>Profit before financing and taxation</t>
  </si>
  <si>
    <t>Financing income</t>
  </si>
  <si>
    <t>Financing costs</t>
  </si>
  <si>
    <t>Net financing income/(costs) 4</t>
  </si>
  <si>
    <t>Profit before taxation</t>
  </si>
  <si>
    <t>Taxation</t>
  </si>
  <si>
    <t>Profit for the year</t>
  </si>
  <si>
    <t>Attributable to:</t>
  </si>
  <si>
    <t>Ordinary shareholders</t>
  </si>
  <si>
    <t>Non-controlling interests (NCI)</t>
  </si>
  <si>
    <t>Other comprehensive (expense)/income (OCI)</t>
  </si>
  <si>
    <t>Total comprehensive income for the year</t>
  </si>
  <si>
    <t>Earnings per ordinary share attributable to ordinary shareholders:</t>
  </si>
  <si>
    <t>Basic</t>
  </si>
  <si>
    <t>Diluted</t>
  </si>
  <si>
    <t>ASSETS</t>
  </si>
  <si>
    <t>Goodwill 1</t>
  </si>
  <si>
    <t>Intangible assets 1</t>
  </si>
  <si>
    <t>Property, plant and equipment</t>
  </si>
  <si>
    <t>Right-of-use assets</t>
  </si>
  <si>
    <t>Investments 2</t>
  </si>
  <si>
    <t>Other financial assets</t>
  </si>
  <si>
    <t>Deferred tax assets</t>
  </si>
  <si>
    <t>Post-retirement scheme surpluses</t>
  </si>
  <si>
    <t>Non-current assets</t>
  </si>
  <si>
    <t>Inventories</t>
  </si>
  <si>
    <t>Trade receivables and other assets</t>
  </si>
  <si>
    <t>Contract assets</t>
  </si>
  <si>
    <t>Taxation recoverable</t>
  </si>
  <si>
    <t>Cash and cash equivalents</t>
  </si>
  <si>
    <t>Current assets</t>
  </si>
  <si>
    <t>Assets held for sale</t>
  </si>
  <si>
    <t>TOTAL ASSETS</t>
  </si>
  <si>
    <t>LIABILITIES</t>
  </si>
  <si>
    <t>Borrowings and lease liabilities</t>
  </si>
  <si>
    <t>Other financial liabilities</t>
  </si>
  <si>
    <t>Trade payables and other liabilities</t>
  </si>
  <si>
    <t>Contract liabilities</t>
  </si>
  <si>
    <t>Current tax liabilities</t>
  </si>
  <si>
    <t>Provisions for liabilities and charges</t>
  </si>
  <si>
    <t>Current liabilities</t>
  </si>
  <si>
    <t>Deferred tax liabilities</t>
  </si>
  <si>
    <t>Post-retirement scheme deficits</t>
  </si>
  <si>
    <t>Non-current liabilities</t>
  </si>
  <si>
    <t>Liabilities associated with assets held for sale</t>
  </si>
  <si>
    <t>TOTAL LIABILITIES</t>
  </si>
  <si>
    <t>NET ASSETS</t>
  </si>
  <si>
    <t>EQUITY</t>
  </si>
  <si>
    <t>Called-up share capital 3</t>
  </si>
  <si>
    <t>Share premium 3</t>
  </si>
  <si>
    <t>Capital redemption reserve 3</t>
  </si>
  <si>
    <t>Cash flow hedge reserve</t>
  </si>
  <si>
    <t>Translation reserve</t>
  </si>
  <si>
    <t>Retained earnings/(accumulated losses)</t>
  </si>
  <si>
    <t>Equity attributable to ordinary shareholders</t>
  </si>
  <si>
    <t>Non-controlling interest (NCI)</t>
  </si>
  <si>
    <t>TOTAL EQUITY</t>
  </si>
  <si>
    <t>Reconciliation of cash flows from operating activities</t>
  </si>
  <si>
    <t>Loss on disposal of property, plant and equipment</t>
  </si>
  <si>
    <t>(Profit)/loss on disposal of intangible assets</t>
  </si>
  <si>
    <t>Dividends received from joint ventures and associates</t>
  </si>
  <si>
    <t>Impairment of goodwill</t>
  </si>
  <si>
    <t>Amortisation and impairment of intangible assets</t>
  </si>
  <si>
    <t>Depreciation and impairment of property, plant and equipment</t>
  </si>
  <si>
    <t>Depreciation and impairment of right-of-use assets</t>
  </si>
  <si>
    <t>Adjustment of amounts payable under residual value guarantees within lease liabilities</t>
  </si>
  <si>
    <t>Impairment of and other movements on investments</t>
  </si>
  <si>
    <t>Decrease in provisions</t>
  </si>
  <si>
    <t>Increase in inventories</t>
  </si>
  <si>
    <t>Movement in trade receivables/payables and other assets/liabilities</t>
  </si>
  <si>
    <t>Movement in contract assets/liabilities</t>
  </si>
  <si>
    <t>Cash flows on other financial assets and liabilities held for operating purposes 1</t>
  </si>
  <si>
    <t>Cash flows on settlement of excess derivative contracts 2</t>
  </si>
  <si>
    <t>Interest received</t>
  </si>
  <si>
    <t>Net defined benefit post-retirement cost recognised in profit before financing</t>
  </si>
  <si>
    <t>Cash funding of defined benefit post-retirement schemes</t>
  </si>
  <si>
    <t>Share-based payments</t>
  </si>
  <si>
    <t>Net cash inflow from operating activities before taxation</t>
  </si>
  <si>
    <t>Taxation paid</t>
  </si>
  <si>
    <t>Net cash inflow from operating activities</t>
  </si>
  <si>
    <t>Cash flows from investing activities</t>
  </si>
  <si>
    <t>Additions of intangible assets</t>
  </si>
  <si>
    <t>Disposals of intangible assets</t>
  </si>
  <si>
    <t>Purchases of property, plant and equipment</t>
  </si>
  <si>
    <t>Disposals of property, plant and equipment</t>
  </si>
  <si>
    <t>Disposal of businesses (including cash flows on disposals in prior periods)</t>
  </si>
  <si>
    <t>Movement in investments in joint ventures and associates</t>
  </si>
  <si>
    <t>Net cash outflow from investing activities</t>
  </si>
  <si>
    <t>Cash flows from financing activities</t>
  </si>
  <si>
    <t>Repayment of loans</t>
  </si>
  <si>
    <t>Settlement of swaps hedging fixed rate borrowings</t>
  </si>
  <si>
    <t>Proceeds from increase in loans</t>
  </si>
  <si>
    <t>Capital element of lease payments</t>
  </si>
  <si>
    <t>Net cash flow from decrease in borrowings and lease liabilities</t>
  </si>
  <si>
    <t>Interest paid</t>
  </si>
  <si>
    <t>Interest element of lease payments</t>
  </si>
  <si>
    <t>Fees paid on undrawn facilities</t>
  </si>
  <si>
    <t>Cash received on maturity of share-based payment schemes</t>
  </si>
  <si>
    <t>Transactions with NCI 3</t>
  </si>
  <si>
    <t>Dividends to NCI</t>
  </si>
  <si>
    <t>Redemption of C Shares</t>
  </si>
  <si>
    <t>Share buyback</t>
  </si>
  <si>
    <t>Dividends paid</t>
  </si>
  <si>
    <t>Net cash outflow from financing activities</t>
  </si>
  <si>
    <t>Change in cash and cash equivalents</t>
  </si>
  <si>
    <t>Cash and cash equivalents at 1 January</t>
  </si>
  <si>
    <t>Exchange gains/(losses) on cash and cash equivalents</t>
  </si>
  <si>
    <t>Cash and cash equivalents at 31 December 4</t>
  </si>
  <si>
    <t>STANDARDISED FINANCIAL STATEMENT MAPPING</t>
  </si>
  <si>
    <t>Statement</t>
  </si>
  <si>
    <t>Standard Metric</t>
  </si>
  <si>
    <t>Source Match Text</t>
  </si>
  <si>
    <t>Model Destination</t>
  </si>
  <si>
    <t>Income Statement</t>
  </si>
  <si>
    <t>Historical_FS!J8:K8</t>
  </si>
  <si>
    <t>Historical_FS!J12:K12</t>
  </si>
  <si>
    <t>Gain arising on disposal of businesses</t>
  </si>
  <si>
    <t>Historical_FS!J13:K13</t>
  </si>
  <si>
    <t>Net financing income/(costs)</t>
  </si>
  <si>
    <t>Historical_FS!J15:K15</t>
  </si>
  <si>
    <t>Historical_FS!J16:K16</t>
  </si>
  <si>
    <t>Historical_FS!J17:K17</t>
  </si>
  <si>
    <t>Historical_FS!J19:K19</t>
  </si>
  <si>
    <t>Balance Sheet</t>
  </si>
  <si>
    <t>Historical_FS!J31:K31</t>
  </si>
  <si>
    <t>Total Assets</t>
  </si>
  <si>
    <t>Ratio Analysis</t>
  </si>
  <si>
    <t>Current Assets</t>
  </si>
  <si>
    <t>Current Liabilities</t>
  </si>
  <si>
    <t>Total Liabilities</t>
  </si>
  <si>
    <t>Net Assets</t>
  </si>
  <si>
    <t>Row Labels</t>
  </si>
  <si>
    <t>Operating Profit</t>
  </si>
  <si>
    <t>Operating Margin</t>
  </si>
  <si>
    <t>FY2025 REVENUE GROWTH</t>
  </si>
  <si>
    <t>Operating Profit Growth</t>
  </si>
  <si>
    <t>ROLLS-ROYCE HISTORICAL RATIO ANALYSIS</t>
  </si>
  <si>
    <t>All ratios based on historical reported / underlying financial data</t>
  </si>
  <si>
    <t>OPERATING &amp; CASH FLOW RATIOS</t>
  </si>
  <si>
    <t>Underlying Revenue Growth %</t>
  </si>
  <si>
    <t>Free Cash Flow Margin %</t>
  </si>
  <si>
    <t>CASH FLOW / CAPITAL INTENSITY</t>
  </si>
  <si>
    <t>D&amp;A / Revenue %</t>
  </si>
  <si>
    <t>Capex / Revenue %</t>
  </si>
  <si>
    <t>Working Capital Cash Impact / Revenue %</t>
  </si>
  <si>
    <t>Cash Tax Paid / Revenue %</t>
  </si>
  <si>
    <t>BALANCE SHEET / LEVERAGE</t>
  </si>
  <si>
    <t>Gross Borrowings / Revenue %</t>
  </si>
  <si>
    <t>Net Debt / (Net Cash) / Revenue %</t>
  </si>
  <si>
    <t>Cash / Revenue %</t>
  </si>
  <si>
    <t>SEGMENT MARGINS</t>
  </si>
  <si>
    <t>MARKET-IMPLIED REVENUE GROWTH</t>
  </si>
  <si>
    <t>Revenue Growth Adjustment Input</t>
  </si>
  <si>
    <t>EBIT Margin</t>
  </si>
  <si>
    <t>UFCF</t>
  </si>
  <si>
    <t>Implied Value / Share</t>
  </si>
  <si>
    <t>Market-Implied Growth Adjustment</t>
  </si>
  <si>
    <t>Implied Avg FY2027-30 Revenue Growth</t>
  </si>
  <si>
    <t>MARKET-IMPLIED EBIT MARGIN</t>
  </si>
  <si>
    <t>EBIT Margin Adjustment Input</t>
  </si>
  <si>
    <t>Market-Implied Margin Adjustment</t>
  </si>
  <si>
    <t>Implied FY2030 EBIT Margin</t>
  </si>
  <si>
    <t>ROLLS-ROYCE VALUATION DASHBOARD</t>
  </si>
  <si>
    <t>Historical performance, operating forecast and valuation summary | £m unless stated</t>
  </si>
  <si>
    <t>REFERENCE SHARE PRICE</t>
  </si>
  <si>
    <t>DCF VALUE / SHARE</t>
  </si>
  <si>
    <t>COMPS VALUE / SHARE</t>
  </si>
  <si>
    <t>DCF DOWNSIDE</t>
  </si>
  <si>
    <t>Net Cash (£m)</t>
  </si>
  <si>
    <t>Terminal Value / EV</t>
  </si>
  <si>
    <t>VALUATION SUMMARY</t>
  </si>
  <si>
    <t>Method</t>
  </si>
  <si>
    <t>Value / Share</t>
  </si>
  <si>
    <t>DCF</t>
  </si>
  <si>
    <t>Trading Comps</t>
  </si>
  <si>
    <t>Reference Price</t>
  </si>
  <si>
    <t>SCENARIO VALUATION</t>
  </si>
  <si>
    <t xml:space="preserve">Scenario </t>
  </si>
  <si>
    <t>OPERATING FORECAST</t>
  </si>
  <si>
    <t>Revenue (£m)</t>
  </si>
  <si>
    <t>Operating Profit (£m)</t>
  </si>
  <si>
    <t>SEGMENT REVENUE OUTLOOK</t>
  </si>
  <si>
    <t>KEY VALUATION TAKEAWAYS</t>
  </si>
  <si>
    <t>DCF valuation remains materially below the reference market price.</t>
  </si>
  <si>
    <t>Trading comparables imply a higher value than the DCF, but remain below market.</t>
  </si>
  <si>
    <t>Even the Bull operating scenario does not fully justify the reference share price.</t>
  </si>
  <si>
    <t>DCF ASSUMPTIONS</t>
  </si>
  <si>
    <t>Scenario</t>
  </si>
  <si>
    <t>Market Price</t>
  </si>
  <si>
    <t>Year</t>
  </si>
  <si>
    <t>UFCF (£m)</t>
  </si>
  <si>
    <t>ADDITIONAL MODEL &amp; MARKET DATA SOURCES</t>
  </si>
  <si>
    <t>Source ID</t>
  </si>
  <si>
    <t>Category</t>
  </si>
  <si>
    <t>Source</t>
  </si>
  <si>
    <t>Period / Date</t>
  </si>
  <si>
    <t>Primary Use</t>
  </si>
  <si>
    <t>Reference</t>
  </si>
  <si>
    <t>S01</t>
  </si>
  <si>
    <t>Company Results</t>
  </si>
  <si>
    <t>Rolls-Royce H1 2026 Results</t>
  </si>
  <si>
    <t>H1 revenue, operating profit, FCF, net cash, segment results and FY2026 guidance</t>
  </si>
  <si>
    <t xml:space="preserve"> Rolls-Royce Investor Relations</t>
  </si>
  <si>
    <t xml:space="preserve"> S02</t>
  </si>
  <si>
    <t xml:space="preserve"> Power Query</t>
  </si>
  <si>
    <t xml:space="preserve"> Rolls-Royce FY2025 Full-Year Results Web Page</t>
  </si>
  <si>
    <t xml:space="preserve"> FY2025 / FY2024</t>
  </si>
  <si>
    <t xml:space="preserve"> Automated statutory income statement, balance sheet and cash flow extraction</t>
  </si>
  <si>
    <t xml:space="preserve"> S03</t>
  </si>
  <si>
    <t xml:space="preserve"> Regulatory Data</t>
  </si>
  <si>
    <t xml:space="preserve"> Companies House Filing History API</t>
  </si>
  <si>
    <t xml:space="preserve"> Historical</t>
  </si>
  <si>
    <t xml:space="preserve"> Automated filing history and document metadata</t>
  </si>
  <si>
    <t xml:space="preserve"> Company No. 07524813</t>
  </si>
  <si>
    <t xml:space="preserve"> S04</t>
  </si>
  <si>
    <t xml:space="preserve"> Market Data</t>
  </si>
  <si>
    <t xml:space="preserve"> Rolls-Royce Historical Share Price</t>
  </si>
  <si>
    <t xml:space="preserve"> 30 Jun 2026</t>
  </si>
  <si>
    <t xml:space="preserve"> £14.45 DCF reference share price</t>
  </si>
  <si>
    <t xml:space="preserve"> Historical market price source</t>
  </si>
  <si>
    <t xml:space="preserve"> S05</t>
  </si>
  <si>
    <t xml:space="preserve"> UK 10-Year Government Bond Yield</t>
  </si>
  <si>
    <t xml:space="preserve"> 4.83% risk-free rate</t>
  </si>
  <si>
    <t xml:space="preserve"> Government bond market data</t>
  </si>
  <si>
    <t xml:space="preserve"> S06</t>
  </si>
  <si>
    <t xml:space="preserve"> Valuation Input</t>
  </si>
  <si>
    <t xml:space="preserve"> Equity Risk Premium</t>
  </si>
  <si>
    <t xml:space="preserve"> Valuation Date</t>
  </si>
  <si>
    <t xml:space="preserve"> 4.17% ERP used in cost of equity</t>
  </si>
  <si>
    <t xml:space="preserve"> Valuation assumption</t>
  </si>
  <si>
    <t xml:space="preserve"> S07</t>
  </si>
  <si>
    <t xml:space="preserve"> Comparable Companies</t>
  </si>
  <si>
    <t xml:space="preserve"> Peer Company Market &amp; Financial Data</t>
  </si>
  <si>
    <t xml:space="preserve"> FY2025 / 30 Jun 2026</t>
  </si>
  <si>
    <t xml:space="preserve"> GE Aerospace, Safran, RTX, MTU Aero Engines and BAE Systems</t>
  </si>
  <si>
    <t xml:space="preserve"> Company filings / historical market data</t>
  </si>
  <si>
    <t>MODEL METHODOLOGY</t>
  </si>
  <si>
    <t xml:space="preserve"> M01</t>
  </si>
  <si>
    <t xml:space="preserve"> DCF</t>
  </si>
  <si>
    <t xml:space="preserve"> Discounted Cash Flow Valuation</t>
  </si>
  <si>
    <t xml:space="preserve"> FY2026E–FY2030E</t>
  </si>
  <si>
    <t xml:space="preserve"> UFCF discounted using WACC with Gordon Growth terminal value</t>
  </si>
  <si>
    <t xml:space="preserve"> DCF sheet</t>
  </si>
  <si>
    <t xml:space="preserve"> M02</t>
  </si>
  <si>
    <t xml:space="preserve"> Trading Comps</t>
  </si>
  <si>
    <t xml:space="preserve"> Comparable Companies Valuation</t>
  </si>
  <si>
    <t xml:space="preserve"> FY2025</t>
  </si>
  <si>
    <t xml:space="preserve"> EV / Revenue and EV / EBIT peer multiples</t>
  </si>
  <si>
    <t xml:space="preserve"> Comparable_Companies sheet</t>
  </si>
  <si>
    <t xml:space="preserve"> M03</t>
  </si>
  <si>
    <t xml:space="preserve"> Scenario Analysis</t>
  </si>
  <si>
    <t xml:space="preserve"> Bear / Base / Bull Valuation</t>
  </si>
  <si>
    <t xml:space="preserve"> Forecast Period</t>
  </si>
  <si>
    <t xml:space="preserve"> Revenue, margin, WACC and terminal-growth scenario analysis</t>
  </si>
  <si>
    <t xml:space="preserve"> Sensitivity sheet</t>
  </si>
  <si>
    <t xml:space="preserve"> M04</t>
  </si>
  <si>
    <t xml:space="preserve"> Sensitivity</t>
  </si>
  <si>
    <t xml:space="preserve"> DCF WACC / Terminal Growth Data Table</t>
  </si>
  <si>
    <t xml:space="preserve"> Two-variable valuation sensitivity</t>
  </si>
  <si>
    <t>PV - FY2027E UFCF</t>
  </si>
  <si>
    <t>PV - FY2028E UFCF</t>
  </si>
  <si>
    <t>PV - FY2029E UFCF</t>
  </si>
  <si>
    <t>PV - FY2030E UFCF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</si>
</sst>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0.0%;0.0%"/>
    <numFmt numFmtId="166" formatCode="0.0%;[Red]\(0.0%\);\-"/>
    <numFmt numFmtId="167" formatCode="#,##0;[Red]\(#,##0\);\-"/>
    <numFmt numFmtId="168" formatCode="#,##0.00;[Red]\(#,##0.00\);\-"/>
    <numFmt numFmtId="169" formatCode="#,##0.0;[Red]\(#,##0.0\);\-"/>
    <numFmt numFmtId="170" formatCode="0.0\x;[Red]\(0.0\x\);\-"/>
    <numFmt numFmtId="171" formatCode="0.00%;[Red]\(0.00%\);\-"/>
    <numFmt numFmtId="172" formatCode="0.0\x"/>
    <numFmt numFmtId="173" formatCode="&quot;£&quot;0.00"/>
    <numFmt numFmtId="174" formatCode="0.##"/>
    <numFmt numFmtId="175" formatCode="0.000"/>
    <numFmt numFmtId="176" formatCode="&quot;£&quot;#,##0.00"/>
  </numFmts>
  <fonts count="17" x14ac:knownFonts="1">
    <font>
      <sz val="11"/>
      <color theme="1"/>
      <name val="Aptos Narrow"/>
      <family val="2"/>
      <scheme val="minor"/>
    </font>
    <font>
      <sz val="11"/>
      <color theme="1"/>
      <name val="Aptos Narrow"/>
      <family val="2"/>
      <scheme val="minor"/>
    </font>
    <font>
      <sz val="8"/>
      <name val="Aptos Narrow"/>
      <family val="2"/>
      <scheme val="minor"/>
    </font>
    <font>
      <sz val="11"/>
      <color rgb="FF0070C0"/>
      <name val="Aptos Narrow"/>
      <family val="2"/>
      <scheme val="minor"/>
    </font>
    <font>
      <sz val="10"/>
      <color theme="1"/>
      <name val="Arial"/>
      <family val="2"/>
    </font>
    <font>
      <sz val="10"/>
      <color theme="0"/>
      <name val="Arial"/>
      <family val="2"/>
    </font>
    <font>
      <sz val="10"/>
      <color rgb="FF008000"/>
      <name val="Arial"/>
      <family val="2"/>
    </font>
    <font>
      <sz val="10"/>
      <color rgb="FF000000"/>
      <name val="Arial"/>
      <family val="2"/>
    </font>
    <font>
      <b/>
      <sz val="10"/>
      <color theme="1"/>
      <name val="Arial"/>
      <family val="2"/>
    </font>
    <font>
      <b/>
      <sz val="10"/>
      <name val="Arial"/>
      <family val="2"/>
    </font>
    <font>
      <sz val="10"/>
      <color rgb="FF002060"/>
      <name val="Arial"/>
      <family val="2"/>
    </font>
    <font>
      <sz val="10"/>
      <color rgb="FF0000FF"/>
      <name val="Arial"/>
      <family val="2"/>
    </font>
    <font>
      <sz val="10"/>
      <name val="Arial"/>
      <family val="2"/>
    </font>
    <font>
      <b/>
      <sz val="10"/>
      <color rgb="FFFFFFFF"/>
      <name val="Arial"/>
      <family val="2"/>
    </font>
    <font>
      <b/>
      <sz val="16"/>
      <color rgb="FFFFFFFF"/>
      <name val="Arial"/>
      <family val="2"/>
    </font>
    <font>
      <b/>
      <sz val="10"/>
      <color rgb="FF000000"/>
      <name val="Arial"/>
      <family val="2"/>
    </font>
    <font>
      <b/>
      <sz val="10"/>
      <color rgb="FF008000"/>
      <name val="Arial"/>
      <family val="2"/>
    </font>
  </fonts>
  <fills count="8">
    <fill>
      <patternFill patternType="none"/>
    </fill>
    <fill>
      <patternFill patternType="gray125"/>
    </fill>
    <fill>
      <patternFill patternType="solid">
        <fgColor rgb="FFFFFFCC"/>
        <bgColor indexed="64"/>
      </patternFill>
    </fill>
    <fill>
      <patternFill patternType="solid">
        <fgColor rgb="FF002060"/>
        <bgColor indexed="64"/>
      </patternFill>
    </fill>
    <fill>
      <patternFill patternType="solid">
        <fgColor rgb="FF112B3C"/>
        <bgColor indexed="64"/>
      </patternFill>
    </fill>
    <fill>
      <patternFill patternType="solid">
        <fgColor rgb="FF1F4E79"/>
        <bgColor indexed="64"/>
      </patternFill>
    </fill>
    <fill>
      <patternFill patternType="solid">
        <fgColor rgb="FFFFF2CC"/>
        <bgColor indexed="64"/>
      </patternFill>
    </fill>
    <fill>
      <patternFill patternType="solid">
        <fgColor rgb="FFF2F6FA"/>
        <bgColor indexed="64"/>
      </patternFill>
    </fill>
  </fills>
  <borders count="4">
    <border>
      <left/>
      <right/>
      <top/>
      <bottom/>
      <diagonal/>
    </border>
    <border>
      <left/>
      <right style="thick">
        <color indexed="64"/>
      </right>
      <top/>
      <bottom/>
      <diagonal/>
    </border>
    <border>
      <left/>
      <right/>
      <top style="thick">
        <color indexed="64"/>
      </top>
      <bottom/>
      <diagonal/>
    </border>
    <border>
      <left/>
      <right/>
      <top style="thin">
        <color rgb="FF000000"/>
      </top>
      <bottom/>
      <diagonal/>
    </border>
  </borders>
  <cellStyleXfs count="2">
    <xf numFmtId="0" fontId="0" fillId="0" borderId="0"/>
    <xf numFmtId="9" fontId="1" fillId="0" borderId="0" applyFont="0" applyFill="0" applyBorder="0" applyAlignment="0" applyProtection="0"/>
  </cellStyleXfs>
  <cellXfs count="130">
    <xf numFmtId="0" fontId="0" fillId="0" borderId="0" xfId="0"/>
    <xf numFmtId="164" fontId="0" fillId="0" borderId="0" xfId="1" applyNumberFormat="1" applyFont="1"/>
    <xf numFmtId="164" fontId="0" fillId="0" borderId="0" xfId="0" applyNumberFormat="1"/>
    <xf numFmtId="0" fontId="3" fillId="0" borderId="0" xfId="0" applyFont="1"/>
    <xf numFmtId="0" fontId="0" fillId="0" borderId="0" xfId="0" applyAlignment="1">
      <alignment wrapText="1"/>
    </xf>
    <xf numFmtId="14" fontId="0" fillId="0" borderId="0" xfId="0" applyNumberFormat="1"/>
    <xf numFmtId="0" fontId="4" fillId="0" borderId="0" xfId="0" applyFont="1"/>
    <xf numFmtId="166" fontId="4" fillId="0" borderId="0" xfId="0" applyNumberFormat="1" applyFont="1"/>
    <xf numFmtId="167" fontId="4" fillId="0" borderId="0" xfId="0" applyNumberFormat="1" applyFont="1"/>
    <xf numFmtId="166" fontId="6" fillId="0" borderId="0" xfId="0" applyNumberFormat="1" applyFont="1"/>
    <xf numFmtId="167" fontId="6" fillId="0" borderId="0" xfId="0" applyNumberFormat="1" applyFont="1"/>
    <xf numFmtId="168" fontId="6" fillId="0" borderId="0" xfId="0" applyNumberFormat="1" applyFont="1"/>
    <xf numFmtId="167" fontId="6" fillId="0" borderId="0" xfId="0" quotePrefix="1" applyNumberFormat="1" applyFont="1"/>
    <xf numFmtId="166" fontId="6" fillId="0" borderId="0" xfId="1" applyNumberFormat="1" applyFont="1"/>
    <xf numFmtId="0" fontId="8" fillId="0" borderId="0" xfId="0" applyFont="1"/>
    <xf numFmtId="0" fontId="8" fillId="0" borderId="0" xfId="0" applyFont="1" applyAlignment="1">
      <alignment textRotation="45"/>
    </xf>
    <xf numFmtId="0" fontId="8" fillId="0" borderId="1" xfId="0" applyFont="1" applyBorder="1" applyAlignment="1">
      <alignment textRotation="45"/>
    </xf>
    <xf numFmtId="0" fontId="9" fillId="0" borderId="0" xfId="0" applyFont="1" applyAlignment="1">
      <alignment textRotation="45"/>
    </xf>
    <xf numFmtId="0" fontId="11" fillId="0" borderId="0" xfId="0" applyFont="1"/>
    <xf numFmtId="167" fontId="8" fillId="0" borderId="0" xfId="0" applyNumberFormat="1" applyFont="1"/>
    <xf numFmtId="169" fontId="4" fillId="0" borderId="0" xfId="0" applyNumberFormat="1" applyFont="1"/>
    <xf numFmtId="169" fontId="4" fillId="2" borderId="0" xfId="0" applyNumberFormat="1" applyFont="1" applyFill="1"/>
    <xf numFmtId="169" fontId="11" fillId="0" borderId="0" xfId="0" applyNumberFormat="1" applyFont="1"/>
    <xf numFmtId="167" fontId="11" fillId="0" borderId="0" xfId="0" applyNumberFormat="1" applyFont="1"/>
    <xf numFmtId="169" fontId="6" fillId="0" borderId="0" xfId="0" applyNumberFormat="1" applyFont="1"/>
    <xf numFmtId="166" fontId="4" fillId="0" borderId="0" xfId="1" applyNumberFormat="1" applyFont="1"/>
    <xf numFmtId="166" fontId="4" fillId="0" borderId="0" xfId="1" applyNumberFormat="1" applyFont="1" applyAlignment="1">
      <alignment horizontal="right"/>
    </xf>
    <xf numFmtId="166" fontId="7" fillId="0" borderId="0" xfId="1" applyNumberFormat="1" applyFont="1"/>
    <xf numFmtId="166" fontId="4" fillId="2" borderId="0" xfId="1" applyNumberFormat="1" applyFont="1" applyFill="1"/>
    <xf numFmtId="167" fontId="10" fillId="0" borderId="0" xfId="0" applyNumberFormat="1" applyFont="1"/>
    <xf numFmtId="169" fontId="7" fillId="0" borderId="0" xfId="0" applyNumberFormat="1" applyFont="1"/>
    <xf numFmtId="166" fontId="7" fillId="0" borderId="0" xfId="0" applyNumberFormat="1" applyFont="1"/>
    <xf numFmtId="166" fontId="4" fillId="2" borderId="0" xfId="0" applyNumberFormat="1" applyFont="1" applyFill="1"/>
    <xf numFmtId="169" fontId="11" fillId="0" borderId="0" xfId="1" applyNumberFormat="1" applyFont="1"/>
    <xf numFmtId="169" fontId="4" fillId="2" borderId="0" xfId="1" applyNumberFormat="1" applyFont="1" applyFill="1"/>
    <xf numFmtId="168" fontId="7" fillId="0" borderId="0" xfId="1" applyNumberFormat="1" applyFont="1"/>
    <xf numFmtId="0" fontId="4" fillId="0" borderId="0" xfId="0" applyFont="1" applyAlignment="1">
      <alignment horizontal="center" vertical="center"/>
    </xf>
    <xf numFmtId="0" fontId="4" fillId="0" borderId="0" xfId="0" applyFont="1" applyAlignment="1">
      <alignment wrapText="1"/>
    </xf>
    <xf numFmtId="2" fontId="4" fillId="0" borderId="0" xfId="0" applyNumberFormat="1" applyFont="1"/>
    <xf numFmtId="2" fontId="8" fillId="0" borderId="0" xfId="0" applyNumberFormat="1" applyFont="1"/>
    <xf numFmtId="2" fontId="4" fillId="0" borderId="0" xfId="0" applyNumberFormat="1" applyFont="1" applyAlignment="1">
      <alignment horizontal="left" vertical="center"/>
    </xf>
    <xf numFmtId="2" fontId="4" fillId="0" borderId="0" xfId="0" applyNumberFormat="1" applyFont="1" applyAlignment="1">
      <alignment horizontal="left"/>
    </xf>
    <xf numFmtId="0" fontId="4" fillId="0" borderId="0" xfId="0" applyFont="1" applyAlignment="1">
      <alignment horizontal="center" vertical="center" wrapText="1"/>
    </xf>
    <xf numFmtId="167" fontId="8" fillId="0" borderId="0" xfId="0" applyNumberFormat="1" applyFont="1" applyAlignment="1">
      <alignment textRotation="45"/>
    </xf>
    <xf numFmtId="167" fontId="9" fillId="0" borderId="0" xfId="0" applyNumberFormat="1" applyFont="1" applyAlignment="1">
      <alignment textRotation="45"/>
    </xf>
    <xf numFmtId="168" fontId="7" fillId="0" borderId="0" xfId="0" applyNumberFormat="1" applyFont="1"/>
    <xf numFmtId="168" fontId="4" fillId="0" borderId="0" xfId="0" applyNumberFormat="1" applyFont="1"/>
    <xf numFmtId="168" fontId="12" fillId="0" borderId="0" xfId="0" applyNumberFormat="1" applyFont="1"/>
    <xf numFmtId="168" fontId="7" fillId="0" borderId="0" xfId="0" applyNumberFormat="1" applyFont="1" applyAlignment="1">
      <alignment horizontal="right" vertical="center"/>
    </xf>
    <xf numFmtId="168" fontId="4" fillId="0" borderId="0" xfId="0" applyNumberFormat="1" applyFont="1" applyAlignment="1">
      <alignment horizontal="center"/>
    </xf>
    <xf numFmtId="168" fontId="7" fillId="0" borderId="0" xfId="0" applyNumberFormat="1" applyFont="1" applyAlignment="1">
      <alignment horizontal="right"/>
    </xf>
    <xf numFmtId="166" fontId="7" fillId="0" borderId="0" xfId="1" applyNumberFormat="1" applyFont="1" applyAlignment="1">
      <alignment horizontal="right"/>
    </xf>
    <xf numFmtId="168" fontId="4" fillId="0" borderId="0" xfId="0" applyNumberFormat="1" applyFont="1" applyAlignment="1">
      <alignment horizontal="right"/>
    </xf>
    <xf numFmtId="168" fontId="4" fillId="0" borderId="0" xfId="0" applyNumberFormat="1" applyFont="1" applyAlignment="1">
      <alignment horizontal="left" vertical="center"/>
    </xf>
    <xf numFmtId="167" fontId="7" fillId="0" borderId="0" xfId="0" applyNumberFormat="1" applyFont="1"/>
    <xf numFmtId="167" fontId="7" fillId="0" borderId="0" xfId="0" applyNumberFormat="1" applyFont="1" applyAlignment="1">
      <alignment horizontal="right"/>
    </xf>
    <xf numFmtId="168" fontId="6" fillId="2" borderId="0" xfId="0" applyNumberFormat="1" applyFont="1" applyFill="1"/>
    <xf numFmtId="166" fontId="7" fillId="2" borderId="0" xfId="1" applyNumberFormat="1" applyFont="1" applyFill="1"/>
    <xf numFmtId="167" fontId="4" fillId="2" borderId="0" xfId="0" applyNumberFormat="1" applyFont="1" applyFill="1"/>
    <xf numFmtId="166" fontId="6" fillId="2" borderId="0" xfId="1" applyNumberFormat="1" applyFont="1" applyFill="1"/>
    <xf numFmtId="168" fontId="7" fillId="2" borderId="0" xfId="0" applyNumberFormat="1" applyFont="1" applyFill="1"/>
    <xf numFmtId="0" fontId="12" fillId="0" borderId="0" xfId="0" applyFont="1"/>
    <xf numFmtId="14" fontId="11" fillId="0" borderId="0" xfId="0" applyNumberFormat="1" applyFont="1"/>
    <xf numFmtId="170" fontId="7" fillId="0" borderId="0" xfId="0" applyNumberFormat="1" applyFont="1"/>
    <xf numFmtId="0" fontId="4" fillId="0" borderId="2" xfId="0" applyFont="1" applyBorder="1"/>
    <xf numFmtId="164" fontId="11" fillId="0" borderId="0" xfId="0" applyNumberFormat="1" applyFont="1"/>
    <xf numFmtId="166" fontId="11" fillId="0" borderId="0" xfId="0" applyNumberFormat="1" applyFont="1"/>
    <xf numFmtId="167" fontId="7" fillId="0" borderId="2" xfId="0" applyNumberFormat="1" applyFont="1" applyBorder="1"/>
    <xf numFmtId="0" fontId="4" fillId="0" borderId="0" xfId="0" pivotButton="1" applyFont="1"/>
    <xf numFmtId="0" fontId="4" fillId="0" borderId="0" xfId="0" applyFont="1" applyAlignment="1">
      <alignment horizontal="left"/>
    </xf>
    <xf numFmtId="165" fontId="11" fillId="0" borderId="0" xfId="0" applyNumberFormat="1" applyFont="1"/>
    <xf numFmtId="15" fontId="11" fillId="0" borderId="0" xfId="0" applyNumberFormat="1" applyFont="1" applyAlignment="1">
      <alignment horizontal="center" vertical="center" wrapText="1"/>
    </xf>
    <xf numFmtId="0" fontId="14" fillId="4" borderId="0" xfId="0" applyFont="1" applyFill="1" applyAlignment="1">
      <alignment horizontal="left" vertical="center"/>
    </xf>
    <xf numFmtId="167" fontId="14" fillId="4" borderId="0" xfId="0" applyNumberFormat="1" applyFont="1" applyFill="1" applyAlignment="1">
      <alignment horizontal="left" vertical="center"/>
    </xf>
    <xf numFmtId="0" fontId="13" fillId="5" borderId="0" xfId="0" applyFont="1" applyFill="1" applyAlignment="1">
      <alignment horizontal="left" vertical="center"/>
    </xf>
    <xf numFmtId="167" fontId="13" fillId="5" borderId="0" xfId="0" applyNumberFormat="1" applyFont="1" applyFill="1" applyAlignment="1">
      <alignment horizontal="left" vertical="center"/>
    </xf>
    <xf numFmtId="169" fontId="13" fillId="5" borderId="0" xfId="0" applyNumberFormat="1" applyFont="1" applyFill="1" applyAlignment="1">
      <alignment horizontal="left" vertical="center"/>
    </xf>
    <xf numFmtId="0" fontId="13" fillId="5" borderId="0" xfId="0" applyFont="1" applyFill="1" applyAlignment="1">
      <alignment horizontal="center" vertical="center" textRotation="45" wrapText="1"/>
    </xf>
    <xf numFmtId="0" fontId="13" fillId="5" borderId="1" xfId="0" applyFont="1" applyFill="1" applyBorder="1" applyAlignment="1">
      <alignment horizontal="center" vertical="center" textRotation="45" wrapText="1"/>
    </xf>
    <xf numFmtId="166" fontId="13" fillId="5" borderId="0" xfId="0" applyNumberFormat="1" applyFont="1" applyFill="1" applyAlignment="1">
      <alignment horizontal="left" vertical="center"/>
    </xf>
    <xf numFmtId="167" fontId="13" fillId="5" borderId="0" xfId="0" applyNumberFormat="1" applyFont="1" applyFill="1" applyAlignment="1">
      <alignment horizontal="center" vertical="center" wrapText="1"/>
    </xf>
    <xf numFmtId="167" fontId="14" fillId="4" borderId="0" xfId="0" applyNumberFormat="1" applyFont="1" applyFill="1" applyAlignment="1">
      <alignment horizontal="left" vertical="center" textRotation="45"/>
    </xf>
    <xf numFmtId="168" fontId="13" fillId="5" borderId="0" xfId="0" applyNumberFormat="1" applyFont="1" applyFill="1" applyAlignment="1">
      <alignment horizontal="left" vertical="center"/>
    </xf>
    <xf numFmtId="0" fontId="13" fillId="5" borderId="0" xfId="0" applyFont="1" applyFill="1" applyAlignment="1">
      <alignment horizontal="left" vertical="center" wrapText="1"/>
    </xf>
    <xf numFmtId="2" fontId="13" fillId="5" borderId="0" xfId="0" applyNumberFormat="1" applyFont="1" applyFill="1" applyAlignment="1">
      <alignment horizontal="left" vertical="center"/>
    </xf>
    <xf numFmtId="166" fontId="13" fillId="5" borderId="0" xfId="1" applyNumberFormat="1" applyFont="1" applyFill="1" applyAlignment="1">
      <alignment horizontal="left" vertical="center"/>
    </xf>
    <xf numFmtId="168" fontId="13" fillId="5" borderId="0" xfId="1" applyNumberFormat="1" applyFont="1" applyFill="1" applyAlignment="1">
      <alignment horizontal="left" vertical="center"/>
    </xf>
    <xf numFmtId="166" fontId="11" fillId="6" borderId="0" xfId="1" applyNumberFormat="1" applyFont="1" applyFill="1"/>
    <xf numFmtId="0" fontId="15" fillId="6" borderId="0" xfId="0" applyFont="1" applyFill="1" applyAlignment="1">
      <alignment horizontal="center" vertical="center" textRotation="45" wrapText="1"/>
    </xf>
    <xf numFmtId="0" fontId="8" fillId="0" borderId="3" xfId="0" applyFont="1" applyBorder="1"/>
    <xf numFmtId="168" fontId="16" fillId="0" borderId="3" xfId="0" applyNumberFormat="1" applyFont="1" applyBorder="1"/>
    <xf numFmtId="168" fontId="16" fillId="2" borderId="3" xfId="0" applyNumberFormat="1" applyFont="1" applyFill="1" applyBorder="1"/>
    <xf numFmtId="167" fontId="8" fillId="0" borderId="3" xfId="0" applyNumberFormat="1" applyFont="1" applyBorder="1"/>
    <xf numFmtId="167" fontId="15" fillId="0" borderId="3" xfId="0" applyNumberFormat="1" applyFont="1" applyBorder="1"/>
    <xf numFmtId="166" fontId="11" fillId="6" borderId="0" xfId="0" applyNumberFormat="1" applyFont="1" applyFill="1"/>
    <xf numFmtId="0" fontId="13" fillId="5" borderId="0" xfId="0" applyFont="1" applyFill="1" applyAlignment="1">
      <alignment horizontal="center" vertical="center" wrapText="1"/>
    </xf>
    <xf numFmtId="0" fontId="4" fillId="0" borderId="0" xfId="0" applyFont="1" applyAlignment="1">
      <alignment vertical="top" wrapText="1"/>
    </xf>
    <xf numFmtId="0" fontId="11" fillId="0" borderId="0" xfId="0" applyFont="1" applyAlignment="1">
      <alignment horizontal="center" vertical="center" wrapText="1"/>
    </xf>
    <xf numFmtId="171" fontId="7" fillId="6" borderId="0" xfId="0" applyNumberFormat="1" applyFont="1" applyFill="1"/>
    <xf numFmtId="171" fontId="7" fillId="0" borderId="0" xfId="0" applyNumberFormat="1" applyFont="1"/>
    <xf numFmtId="172" fontId="7" fillId="6" borderId="0" xfId="0" applyNumberFormat="1" applyFont="1" applyFill="1"/>
    <xf numFmtId="173" fontId="7" fillId="6" borderId="0" xfId="0" applyNumberFormat="1" applyFont="1" applyFill="1"/>
    <xf numFmtId="173" fontId="15" fillId="7" borderId="3" xfId="0" applyNumberFormat="1" applyFont="1" applyFill="1" applyBorder="1"/>
    <xf numFmtId="173" fontId="7" fillId="0" borderId="0" xfId="0" applyNumberFormat="1" applyFont="1"/>
    <xf numFmtId="168" fontId="11" fillId="0" borderId="0" xfId="0" applyNumberFormat="1" applyFont="1"/>
    <xf numFmtId="174" fontId="7" fillId="0" borderId="0" xfId="0" applyNumberFormat="1" applyFont="1"/>
    <xf numFmtId="175" fontId="7" fillId="0" borderId="0" xfId="0" applyNumberFormat="1" applyFont="1"/>
    <xf numFmtId="172" fontId="7" fillId="0" borderId="0" xfId="0" applyNumberFormat="1" applyFont="1"/>
    <xf numFmtId="164" fontId="6" fillId="0" borderId="0" xfId="1" applyNumberFormat="1" applyFont="1"/>
    <xf numFmtId="164" fontId="11" fillId="0" borderId="0" xfId="1" applyNumberFormat="1" applyFont="1"/>
    <xf numFmtId="176" fontId="6" fillId="0" borderId="0" xfId="0" applyNumberFormat="1" applyFont="1"/>
    <xf numFmtId="10" fontId="6" fillId="0" borderId="0" xfId="1" applyNumberFormat="1" applyFont="1"/>
    <xf numFmtId="0" fontId="4" fillId="0" borderId="0" xfId="0" applyFont="1" applyAlignment="1">
      <alignment horizontal="center" wrapText="1"/>
    </xf>
    <xf numFmtId="167" fontId="4" fillId="0" borderId="0" xfId="0" applyNumberFormat="1" applyFont="1" applyAlignment="1">
      <alignment horizontal="center" wrapText="1"/>
    </xf>
    <xf numFmtId="0" fontId="13" fillId="5" borderId="0" xfId="0" applyFont="1" applyFill="1" applyAlignment="1">
      <alignment horizontal="left" vertical="center"/>
    </xf>
    <xf numFmtId="167" fontId="13" fillId="5" borderId="0" xfId="0" applyNumberFormat="1" applyFont="1" applyFill="1" applyAlignment="1">
      <alignment horizontal="left" vertical="center"/>
    </xf>
    <xf numFmtId="0" fontId="5" fillId="3" borderId="0" xfId="0" applyFont="1" applyFill="1" applyAlignment="1">
      <alignment horizontal="center"/>
    </xf>
    <xf numFmtId="167" fontId="5" fillId="3" borderId="0" xfId="0" applyNumberFormat="1" applyFont="1" applyFill="1" applyAlignment="1">
      <alignment horizontal="center"/>
    </xf>
    <xf numFmtId="0" fontId="14" fillId="4" borderId="0" xfId="0" applyFont="1" applyFill="1" applyAlignment="1">
      <alignment horizontal="left" vertical="center"/>
    </xf>
    <xf numFmtId="167" fontId="14" fillId="4" borderId="0" xfId="0" applyNumberFormat="1" applyFont="1" applyFill="1" applyAlignment="1">
      <alignment horizontal="left" vertical="center"/>
    </xf>
    <xf numFmtId="0" fontId="4" fillId="0" borderId="0" xfId="0" applyFont="1" applyAlignment="1">
      <alignment horizontal="center"/>
    </xf>
    <xf numFmtId="167" fontId="4" fillId="0" borderId="0" xfId="0" applyNumberFormat="1" applyFont="1" applyAlignment="1">
      <alignment horizontal="center"/>
    </xf>
    <xf numFmtId="176" fontId="6" fillId="0" borderId="0" xfId="0" applyNumberFormat="1" applyFont="1" applyAlignment="1">
      <alignment horizontal="center" vertical="center"/>
    </xf>
    <xf numFmtId="176" fontId="7" fillId="0" borderId="0" xfId="0" applyNumberFormat="1" applyFont="1" applyAlignment="1">
      <alignment horizontal="center" vertical="center"/>
    </xf>
    <xf numFmtId="166" fontId="6" fillId="0" borderId="0" xfId="0" applyNumberFormat="1" applyFont="1" applyAlignment="1">
      <alignment horizontal="center" vertical="center"/>
    </xf>
    <xf numFmtId="166" fontId="7" fillId="0" borderId="0" xfId="0" applyNumberFormat="1" applyFont="1" applyAlignment="1">
      <alignment horizontal="center" vertical="center"/>
    </xf>
    <xf numFmtId="0" fontId="8" fillId="0" borderId="0" xfId="0" applyFont="1" applyAlignment="1">
      <alignment horizontal="center"/>
    </xf>
    <xf numFmtId="167" fontId="8" fillId="0" borderId="0" xfId="0" applyNumberFormat="1" applyFont="1" applyAlignment="1">
      <alignment horizontal="center"/>
    </xf>
    <xf numFmtId="0" fontId="13" fillId="5" borderId="0" xfId="0" applyFont="1" applyFill="1" applyAlignment="1">
      <alignment horizontal="left" vertical="center" wrapText="1"/>
    </xf>
    <xf numFmtId="15" fontId="13" fillId="5" borderId="0" xfId="0" applyNumberFormat="1" applyFont="1" applyFill="1" applyAlignment="1">
      <alignment horizontal="left" vertical="center" wrapText="1"/>
    </xf>
  </cellXfs>
  <cellStyles count="2">
    <cellStyle name="Normal" xfId="0" builtinId="0"/>
    <cellStyle name="Per cent" xfId="1" builtinId="5"/>
  </cellStyles>
  <dxfs count="36">
    <dxf>
      <font>
        <color auto="1"/>
      </font>
      <fill>
        <patternFill>
          <bgColor rgb="FF00B050"/>
        </patternFill>
      </fill>
    </dxf>
    <dxf>
      <font>
        <color auto="1"/>
      </font>
      <fill>
        <patternFill>
          <bgColor rgb="FFFF0000"/>
        </patternFill>
      </fill>
    </dxf>
    <dxf>
      <font>
        <color auto="1"/>
      </font>
      <fill>
        <patternFill>
          <bgColor rgb="FFFFC000"/>
        </patternFill>
      </fill>
    </dxf>
    <dxf>
      <numFmt numFmtId="0" formatCode="General"/>
    </dxf>
    <dxf>
      <numFmt numFmtId="0" formatCode="General"/>
    </dxf>
    <dxf>
      <numFmt numFmtId="0" formatCode="General"/>
    </dxf>
    <dxf>
      <numFmt numFmtId="0" formatCode="General"/>
    </dxf>
    <dxf>
      <numFmt numFmtId="0" formatCode="General"/>
    </dxf>
    <dxf>
      <numFmt numFmtId="177" formatCode="m/d/yyyy"/>
    </dxf>
    <dxf>
      <numFmt numFmtId="177" formatCode="m/d/yyyy"/>
    </dxf>
    <dxf>
      <font>
        <color rgb="FF0000FF"/>
      </font>
    </dxf>
    <dxf>
      <font>
        <sz val="10"/>
      </font>
    </dxf>
    <dxf>
      <font>
        <sz val="10"/>
      </font>
    </dxf>
    <dxf>
      <font>
        <sz val="10"/>
      </font>
    </dxf>
    <dxf>
      <font>
        <name val="Arial"/>
        <scheme val="none"/>
      </font>
    </dxf>
    <dxf>
      <font>
        <name val="Arial"/>
        <scheme val="none"/>
      </font>
    </dxf>
    <dxf>
      <font>
        <name val="Arial"/>
        <scheme val="none"/>
      </font>
    </dxf>
    <dxf>
      <font>
        <color rgb="FF0000FF"/>
      </font>
    </dxf>
    <dxf>
      <font>
        <sz val="10"/>
      </font>
    </dxf>
    <dxf>
      <font>
        <sz val="10"/>
      </font>
    </dxf>
    <dxf>
      <font>
        <sz val="10"/>
      </font>
    </dxf>
    <dxf>
      <font>
        <name val="Arial"/>
        <scheme val="none"/>
      </font>
    </dxf>
    <dxf>
      <font>
        <name val="Arial"/>
        <scheme val="none"/>
      </font>
    </dxf>
    <dxf>
      <font>
        <name val="Arial"/>
        <scheme val="none"/>
      </font>
    </dxf>
    <dxf>
      <font>
        <color rgb="FF0000FF"/>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numFmt numFmtId="164" formatCode="0.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onnections" Target="connections.xml"/><Relationship Id="rId26" Type="http://schemas.microsoft.com/office/2017/06/relationships/rdSupportingPropertyBagStructure" Target="richData/rdsupportingpropertybagstructure.xml"/><Relationship Id="rId39" Type="http://schemas.openxmlformats.org/officeDocument/2006/relationships/customXml" Target="../customXml/item9.xml"/><Relationship Id="rId21" Type="http://schemas.openxmlformats.org/officeDocument/2006/relationships/sheetMetadata" Target="metadata.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owerPivotData" Target="model/item.data"/><Relationship Id="rId11" Type="http://schemas.openxmlformats.org/officeDocument/2006/relationships/worksheet" Target="worksheets/sheet11.xml"/><Relationship Id="rId24" Type="http://schemas.microsoft.com/office/2017/06/relationships/rdArray" Target="richData/rdarray.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17/06/relationships/richStyles" Target="richData/richStyle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sharedStrings" Target="sharedStrings.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microsoft.com/office/2017/06/relationships/rdRichValueStructure" Target="richData/rdrichvaluestructure.xml"/><Relationship Id="rId28" Type="http://schemas.microsoft.com/office/2017/06/relationships/rdRichValueTypes" Target="richData/rdRichValueTypes.xml"/><Relationship Id="rId36" Type="http://schemas.openxmlformats.org/officeDocument/2006/relationships/customXml" Target="../customXml/item6.xml"/><Relationship Id="rId49"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Implied Value per Share vs. Market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Dashboard!$B$16</c:f>
              <c:strCache>
                <c:ptCount val="1"/>
                <c:pt idx="0">
                  <c:v>Value / Share</c:v>
                </c:pt>
              </c:strCache>
            </c:strRef>
          </c:tx>
          <c:spPr>
            <a:solidFill>
              <a:schemeClr val="accent1">
                <a:lumMod val="20000"/>
                <a:lumOff val="8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1121-4983-94E0-ED404F25AE20}"/>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1121-4983-94E0-ED404F25AE20}"/>
              </c:ext>
            </c:extLst>
          </c:dPt>
          <c:cat>
            <c:strRef>
              <c:f>Dashboard!$A$17:$A$19</c:f>
              <c:strCache>
                <c:ptCount val="3"/>
                <c:pt idx="0">
                  <c:v>DCF</c:v>
                </c:pt>
                <c:pt idx="1">
                  <c:v>Trading Comps</c:v>
                </c:pt>
                <c:pt idx="2">
                  <c:v>Reference Price</c:v>
                </c:pt>
              </c:strCache>
            </c:strRef>
          </c:cat>
          <c:val>
            <c:numRef>
              <c:f>Dashboard!$B$17:$B$19</c:f>
              <c:numCache>
                <c:formatCode>"£"#,##0.00</c:formatCode>
                <c:ptCount val="3"/>
                <c:pt idx="0">
                  <c:v>8.1953524819661183</c:v>
                </c:pt>
                <c:pt idx="1">
                  <c:v>9.2730322957909586</c:v>
                </c:pt>
                <c:pt idx="2">
                  <c:v>14.45</c:v>
                </c:pt>
              </c:numCache>
            </c:numRef>
          </c:val>
          <c:extLst>
            <c:ext xmlns:c16="http://schemas.microsoft.com/office/drawing/2014/chart" uri="{C3380CC4-5D6E-409C-BE32-E72D297353CC}">
              <c16:uniqueId val="{00000000-1121-4983-94E0-ED404F25AE20}"/>
            </c:ext>
          </c:extLst>
        </c:ser>
        <c:dLbls>
          <c:showLegendKey val="0"/>
          <c:showVal val="0"/>
          <c:showCatName val="0"/>
          <c:showSerName val="0"/>
          <c:showPercent val="0"/>
          <c:showBubbleSize val="0"/>
        </c:dLbls>
        <c:gapWidth val="219"/>
        <c:overlap val="-27"/>
        <c:axId val="737258480"/>
        <c:axId val="1689877264"/>
      </c:barChart>
      <c:catAx>
        <c:axId val="73725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77264"/>
        <c:crosses val="autoZero"/>
        <c:auto val="1"/>
        <c:lblAlgn val="ctr"/>
        <c:lblOffset val="100"/>
        <c:noMultiLvlLbl val="0"/>
      </c:catAx>
      <c:valAx>
        <c:axId val="1689877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58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Revenue and Operating Profit Outlook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Dashboard!$H$17</c:f>
              <c:strCache>
                <c:ptCount val="1"/>
                <c:pt idx="0">
                  <c:v>Revenue (£m)</c:v>
                </c:pt>
              </c:strCache>
            </c:strRef>
          </c:tx>
          <c:spPr>
            <a:solidFill>
              <a:schemeClr val="accent1"/>
            </a:solidFill>
            <a:ln>
              <a:noFill/>
            </a:ln>
            <a:effectLst/>
          </c:spPr>
          <c:invertIfNegative val="0"/>
          <c:cat>
            <c:strRef>
              <c:f>Dashboard!$I$16:$N$16</c:f>
              <c:strCache>
                <c:ptCount val="6"/>
                <c:pt idx="0">
                  <c:v>FY2025A</c:v>
                </c:pt>
                <c:pt idx="1">
                  <c:v>FY2026E</c:v>
                </c:pt>
                <c:pt idx="2">
                  <c:v>FY2027E</c:v>
                </c:pt>
                <c:pt idx="3">
                  <c:v>FY2028E</c:v>
                </c:pt>
                <c:pt idx="4">
                  <c:v>FY2029E</c:v>
                </c:pt>
                <c:pt idx="5">
                  <c:v>FY2030E</c:v>
                </c:pt>
              </c:strCache>
            </c:strRef>
          </c:cat>
          <c:val>
            <c:numRef>
              <c:f>Dashboard!$I$17:$N$17</c:f>
              <c:numCache>
                <c:formatCode>#,##0;[Red]\(#,##0\);\-</c:formatCode>
                <c:ptCount val="6"/>
                <c:pt idx="0">
                  <c:v>20059</c:v>
                </c:pt>
                <c:pt idx="1">
                  <c:v>23684.54683480948</c:v>
                </c:pt>
                <c:pt idx="2">
                  <c:v>26325.010676225676</c:v>
                </c:pt>
                <c:pt idx="3">
                  <c:v>28811.767378259858</c:v>
                </c:pt>
                <c:pt idx="4">
                  <c:v>31037.626045854115</c:v>
                </c:pt>
                <c:pt idx="5">
                  <c:v>32905.411996171002</c:v>
                </c:pt>
              </c:numCache>
            </c:numRef>
          </c:val>
          <c:extLst>
            <c:ext xmlns:c16="http://schemas.microsoft.com/office/drawing/2014/chart" uri="{C3380CC4-5D6E-409C-BE32-E72D297353CC}">
              <c16:uniqueId val="{00000000-3FCE-45DE-ADDA-7B13FB7BEAE2}"/>
            </c:ext>
          </c:extLst>
        </c:ser>
        <c:dLbls>
          <c:showLegendKey val="0"/>
          <c:showVal val="0"/>
          <c:showCatName val="0"/>
          <c:showSerName val="0"/>
          <c:showPercent val="0"/>
          <c:showBubbleSize val="0"/>
        </c:dLbls>
        <c:gapWidth val="219"/>
        <c:overlap val="-27"/>
        <c:axId val="737201408"/>
        <c:axId val="663596431"/>
      </c:barChart>
      <c:lineChart>
        <c:grouping val="standard"/>
        <c:varyColors val="0"/>
        <c:ser>
          <c:idx val="1"/>
          <c:order val="1"/>
          <c:tx>
            <c:strRef>
              <c:f>Dashboard!$H$18</c:f>
              <c:strCache>
                <c:ptCount val="1"/>
                <c:pt idx="0">
                  <c:v>Operating Profit (£m)</c:v>
                </c:pt>
              </c:strCache>
            </c:strRef>
          </c:tx>
          <c:spPr>
            <a:ln w="28575" cap="rnd">
              <a:solidFill>
                <a:schemeClr val="accent2"/>
              </a:solidFill>
              <a:round/>
            </a:ln>
            <a:effectLst/>
          </c:spPr>
          <c:marker>
            <c:symbol val="none"/>
          </c:marker>
          <c:cat>
            <c:strRef>
              <c:f>Dashboard!$I$16:$N$16</c:f>
              <c:strCache>
                <c:ptCount val="6"/>
                <c:pt idx="0">
                  <c:v>FY2025A</c:v>
                </c:pt>
                <c:pt idx="1">
                  <c:v>FY2026E</c:v>
                </c:pt>
                <c:pt idx="2">
                  <c:v>FY2027E</c:v>
                </c:pt>
                <c:pt idx="3">
                  <c:v>FY2028E</c:v>
                </c:pt>
                <c:pt idx="4">
                  <c:v>FY2029E</c:v>
                </c:pt>
                <c:pt idx="5">
                  <c:v>FY2030E</c:v>
                </c:pt>
              </c:strCache>
            </c:strRef>
          </c:cat>
          <c:val>
            <c:numRef>
              <c:f>Dashboard!$I$18:$N$18</c:f>
              <c:numCache>
                <c:formatCode>#,##0;[Red]\(#,##0\);\-</c:formatCode>
                <c:ptCount val="6"/>
                <c:pt idx="0">
                  <c:v>3462</c:v>
                </c:pt>
                <c:pt idx="1">
                  <c:v>4877.6607539117595</c:v>
                </c:pt>
                <c:pt idx="2">
                  <c:v>5018.4211556795344</c:v>
                </c:pt>
                <c:pt idx="3">
                  <c:v>5511.4912523358289</c:v>
                </c:pt>
                <c:pt idx="4">
                  <c:v>5944.8061494217818</c:v>
                </c:pt>
                <c:pt idx="5">
                  <c:v>6297.2132618869255</c:v>
                </c:pt>
              </c:numCache>
            </c:numRef>
          </c:val>
          <c:smooth val="0"/>
          <c:extLst>
            <c:ext xmlns:c16="http://schemas.microsoft.com/office/drawing/2014/chart" uri="{C3380CC4-5D6E-409C-BE32-E72D297353CC}">
              <c16:uniqueId val="{00000001-3FCE-45DE-ADDA-7B13FB7BEAE2}"/>
            </c:ext>
          </c:extLst>
        </c:ser>
        <c:dLbls>
          <c:showLegendKey val="0"/>
          <c:showVal val="0"/>
          <c:showCatName val="0"/>
          <c:showSerName val="0"/>
          <c:showPercent val="0"/>
          <c:showBubbleSize val="0"/>
        </c:dLbls>
        <c:marker val="1"/>
        <c:smooth val="0"/>
        <c:axId val="737201408"/>
        <c:axId val="663596431"/>
      </c:lineChart>
      <c:catAx>
        <c:axId val="73720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96431"/>
        <c:crosses val="autoZero"/>
        <c:auto val="1"/>
        <c:lblAlgn val="ctr"/>
        <c:lblOffset val="100"/>
        <c:noMultiLvlLbl val="0"/>
      </c:catAx>
      <c:valAx>
        <c:axId val="663596431"/>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01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Scenario Valuation vs. Market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Dashboard!$Q$2</c:f>
              <c:strCache>
                <c:ptCount val="1"/>
                <c:pt idx="0">
                  <c:v>Value / Share</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83BA-40BD-970B-427E529C7114}"/>
              </c:ext>
            </c:extLst>
          </c:dPt>
          <c:dPt>
            <c:idx val="1"/>
            <c:invertIfNegative val="0"/>
            <c:bubble3D val="0"/>
            <c:spPr>
              <a:solidFill>
                <a:srgbClr val="FFC000"/>
              </a:solidFill>
              <a:ln>
                <a:noFill/>
              </a:ln>
              <a:effectLst/>
            </c:spPr>
            <c:extLst>
              <c:ext xmlns:c16="http://schemas.microsoft.com/office/drawing/2014/chart" uri="{C3380CC4-5D6E-409C-BE32-E72D297353CC}">
                <c16:uniqueId val="{00000002-83BA-40BD-970B-427E529C7114}"/>
              </c:ext>
            </c:extLst>
          </c:dPt>
          <c:dPt>
            <c:idx val="2"/>
            <c:invertIfNegative val="0"/>
            <c:bubble3D val="0"/>
            <c:spPr>
              <a:solidFill>
                <a:srgbClr val="00B050"/>
              </a:solidFill>
              <a:ln>
                <a:noFill/>
              </a:ln>
              <a:effectLst/>
            </c:spPr>
            <c:extLst>
              <c:ext xmlns:c16="http://schemas.microsoft.com/office/drawing/2014/chart" uri="{C3380CC4-5D6E-409C-BE32-E72D297353CC}">
                <c16:uniqueId val="{00000003-83BA-40BD-970B-427E529C7114}"/>
              </c:ext>
            </c:extLst>
          </c:dPt>
          <c:cat>
            <c:strRef>
              <c:f>Dashboard!$P$3:$P$6</c:f>
              <c:strCache>
                <c:ptCount val="4"/>
                <c:pt idx="0">
                  <c:v>Bear</c:v>
                </c:pt>
                <c:pt idx="1">
                  <c:v>Base</c:v>
                </c:pt>
                <c:pt idx="2">
                  <c:v>Bull</c:v>
                </c:pt>
                <c:pt idx="3">
                  <c:v>Market Price</c:v>
                </c:pt>
              </c:strCache>
            </c:strRef>
          </c:cat>
          <c:val>
            <c:numRef>
              <c:f>Dashboard!$Q$3:$Q$6</c:f>
              <c:numCache>
                <c:formatCode>"£"#,##0.00</c:formatCode>
                <c:ptCount val="4"/>
                <c:pt idx="0">
                  <c:v>6.5707899162121119</c:v>
                </c:pt>
                <c:pt idx="1">
                  <c:v>8.1953524819661148</c:v>
                </c:pt>
                <c:pt idx="2">
                  <c:v>10.431344333004859</c:v>
                </c:pt>
                <c:pt idx="3">
                  <c:v>14.45</c:v>
                </c:pt>
              </c:numCache>
            </c:numRef>
          </c:val>
          <c:extLst>
            <c:ext xmlns:c16="http://schemas.microsoft.com/office/drawing/2014/chart" uri="{C3380CC4-5D6E-409C-BE32-E72D297353CC}">
              <c16:uniqueId val="{00000000-83BA-40BD-970B-427E529C7114}"/>
            </c:ext>
          </c:extLst>
        </c:ser>
        <c:dLbls>
          <c:showLegendKey val="0"/>
          <c:showVal val="0"/>
          <c:showCatName val="0"/>
          <c:showSerName val="0"/>
          <c:showPercent val="0"/>
          <c:showBubbleSize val="0"/>
        </c:dLbls>
        <c:gapWidth val="219"/>
        <c:overlap val="-27"/>
        <c:axId val="737200480"/>
        <c:axId val="663615631"/>
      </c:barChart>
      <c:catAx>
        <c:axId val="73720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615631"/>
        <c:crosses val="autoZero"/>
        <c:auto val="1"/>
        <c:lblAlgn val="ctr"/>
        <c:lblOffset val="100"/>
        <c:noMultiLvlLbl val="0"/>
      </c:catAx>
      <c:valAx>
        <c:axId val="663615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00480"/>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Segment Revenue Outlook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Dashboard!$A$24</c:f>
              <c:strCache>
                <c:ptCount val="1"/>
                <c:pt idx="0">
                  <c:v>Civil Aerospace</c:v>
                </c:pt>
              </c:strCache>
            </c:strRef>
          </c:tx>
          <c:spPr>
            <a:ln w="28575" cap="rnd">
              <a:solidFill>
                <a:schemeClr val="accent1">
                  <a:lumMod val="75000"/>
                </a:schemeClr>
              </a:solidFill>
              <a:round/>
            </a:ln>
            <a:effectLst/>
          </c:spPr>
          <c:marker>
            <c:symbol val="circle"/>
            <c:size val="5"/>
            <c:spPr>
              <a:solidFill>
                <a:schemeClr val="accent1"/>
              </a:solidFill>
              <a:ln w="9525">
                <a:solidFill>
                  <a:schemeClr val="accent1"/>
                </a:solidFill>
              </a:ln>
              <a:effectLst/>
            </c:spPr>
          </c:marker>
          <c:cat>
            <c:strRef>
              <c:f>Dashboard!$B$23:$G$23</c:f>
              <c:strCache>
                <c:ptCount val="6"/>
                <c:pt idx="0">
                  <c:v>FY2025A</c:v>
                </c:pt>
                <c:pt idx="1">
                  <c:v>FY2026E</c:v>
                </c:pt>
                <c:pt idx="2">
                  <c:v>FY2027E</c:v>
                </c:pt>
                <c:pt idx="3">
                  <c:v>FY2028E</c:v>
                </c:pt>
                <c:pt idx="4">
                  <c:v>FY2029E</c:v>
                </c:pt>
                <c:pt idx="5">
                  <c:v>FY2030E</c:v>
                </c:pt>
              </c:strCache>
            </c:strRef>
          </c:cat>
          <c:val>
            <c:numRef>
              <c:f>Dashboard!$B$24:$G$24</c:f>
              <c:numCache>
                <c:formatCode>#,##0;[Red]\(#,##0\);\-</c:formatCode>
                <c:ptCount val="6"/>
                <c:pt idx="0">
                  <c:v>10382</c:v>
                </c:pt>
                <c:pt idx="1">
                  <c:v>12612.733628318583</c:v>
                </c:pt>
                <c:pt idx="2">
                  <c:v>14154.696682577625</c:v>
                </c:pt>
                <c:pt idx="3">
                  <c:v>15514.363028441046</c:v>
                </c:pt>
                <c:pt idx="4">
                  <c:v>16598.208105444657</c:v>
                </c:pt>
                <c:pt idx="5">
                  <c:v>17322.950509708135</c:v>
                </c:pt>
              </c:numCache>
            </c:numRef>
          </c:val>
          <c:smooth val="0"/>
          <c:extLst>
            <c:ext xmlns:c16="http://schemas.microsoft.com/office/drawing/2014/chart" uri="{C3380CC4-5D6E-409C-BE32-E72D297353CC}">
              <c16:uniqueId val="{00000000-5EA4-455F-B2B5-C8DFFC91B254}"/>
            </c:ext>
          </c:extLst>
        </c:ser>
        <c:ser>
          <c:idx val="1"/>
          <c:order val="1"/>
          <c:tx>
            <c:strRef>
              <c:f>Dashboard!$A$25</c:f>
              <c:strCache>
                <c:ptCount val="1"/>
                <c:pt idx="0">
                  <c:v>Defence</c:v>
                </c:pt>
              </c:strCache>
            </c:strRef>
          </c:tx>
          <c:spPr>
            <a:ln w="28575" cap="rnd">
              <a:solidFill>
                <a:schemeClr val="accent1">
                  <a:lumMod val="40000"/>
                  <a:lumOff val="60000"/>
                </a:schemeClr>
              </a:solidFill>
              <a:round/>
            </a:ln>
            <a:effectLst/>
          </c:spPr>
          <c:marker>
            <c:symbol val="circle"/>
            <c:size val="5"/>
            <c:spPr>
              <a:solidFill>
                <a:schemeClr val="accent1">
                  <a:lumMod val="40000"/>
                  <a:lumOff val="60000"/>
                </a:schemeClr>
              </a:solidFill>
              <a:ln w="9525">
                <a:solidFill>
                  <a:schemeClr val="accent1">
                    <a:lumMod val="40000"/>
                    <a:lumOff val="60000"/>
                  </a:schemeClr>
                </a:solidFill>
              </a:ln>
              <a:effectLst/>
            </c:spPr>
          </c:marker>
          <c:cat>
            <c:strRef>
              <c:f>Dashboard!$B$23:$G$23</c:f>
              <c:strCache>
                <c:ptCount val="6"/>
                <c:pt idx="0">
                  <c:v>FY2025A</c:v>
                </c:pt>
                <c:pt idx="1">
                  <c:v>FY2026E</c:v>
                </c:pt>
                <c:pt idx="2">
                  <c:v>FY2027E</c:v>
                </c:pt>
                <c:pt idx="3">
                  <c:v>FY2028E</c:v>
                </c:pt>
                <c:pt idx="4">
                  <c:v>FY2029E</c:v>
                </c:pt>
                <c:pt idx="5">
                  <c:v>FY2030E</c:v>
                </c:pt>
              </c:strCache>
            </c:strRef>
          </c:cat>
          <c:val>
            <c:numRef>
              <c:f>Dashboard!$B$25:$G$25</c:f>
              <c:numCache>
                <c:formatCode>#,##0;[Red]\(#,##0\);\-</c:formatCode>
                <c:ptCount val="6"/>
                <c:pt idx="0">
                  <c:v>4772</c:v>
                </c:pt>
                <c:pt idx="1">
                  <c:v>5255.6288387900104</c:v>
                </c:pt>
                <c:pt idx="2">
                  <c:v>5717.2943320168451</c:v>
                </c:pt>
                <c:pt idx="3">
                  <c:v>6222.3860096693934</c:v>
                </c:pt>
                <c:pt idx="4">
                  <c:v>6775.226061346003</c:v>
                </c:pt>
                <c:pt idx="5">
                  <c:v>7380.5883169202334</c:v>
                </c:pt>
              </c:numCache>
            </c:numRef>
          </c:val>
          <c:smooth val="0"/>
          <c:extLst>
            <c:ext xmlns:c16="http://schemas.microsoft.com/office/drawing/2014/chart" uri="{C3380CC4-5D6E-409C-BE32-E72D297353CC}">
              <c16:uniqueId val="{00000001-5EA4-455F-B2B5-C8DFFC91B254}"/>
            </c:ext>
          </c:extLst>
        </c:ser>
        <c:ser>
          <c:idx val="2"/>
          <c:order val="2"/>
          <c:tx>
            <c:strRef>
              <c:f>Dashboard!$A$26</c:f>
              <c:strCache>
                <c:ptCount val="1"/>
                <c:pt idx="0">
                  <c:v>Power Systems</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Dashboard!$B$23:$G$23</c:f>
              <c:strCache>
                <c:ptCount val="6"/>
                <c:pt idx="0">
                  <c:v>FY2025A</c:v>
                </c:pt>
                <c:pt idx="1">
                  <c:v>FY2026E</c:v>
                </c:pt>
                <c:pt idx="2">
                  <c:v>FY2027E</c:v>
                </c:pt>
                <c:pt idx="3">
                  <c:v>FY2028E</c:v>
                </c:pt>
                <c:pt idx="4">
                  <c:v>FY2029E</c:v>
                </c:pt>
                <c:pt idx="5">
                  <c:v>FY2030E</c:v>
                </c:pt>
              </c:strCache>
            </c:strRef>
          </c:cat>
          <c:val>
            <c:numRef>
              <c:f>Dashboard!$B$26:$G$26</c:f>
              <c:numCache>
                <c:formatCode>#,##0;[Red]\(#,##0\);\-</c:formatCode>
                <c:ptCount val="6"/>
                <c:pt idx="0">
                  <c:v>4892</c:v>
                </c:pt>
                <c:pt idx="1">
                  <c:v>5804.1843677008874</c:v>
                </c:pt>
                <c:pt idx="2">
                  <c:v>6441.0196616312078</c:v>
                </c:pt>
                <c:pt idx="3">
                  <c:v>7063.0183401494169</c:v>
                </c:pt>
                <c:pt idx="4">
                  <c:v>7652.1918790634545</c:v>
                </c:pt>
                <c:pt idx="5">
                  <c:v>8189.8731695426331</c:v>
                </c:pt>
              </c:numCache>
            </c:numRef>
          </c:val>
          <c:smooth val="0"/>
          <c:extLst>
            <c:ext xmlns:c16="http://schemas.microsoft.com/office/drawing/2014/chart" uri="{C3380CC4-5D6E-409C-BE32-E72D297353CC}">
              <c16:uniqueId val="{00000002-5EA4-455F-B2B5-C8DFFC91B254}"/>
            </c:ext>
          </c:extLst>
        </c:ser>
        <c:dLbls>
          <c:showLegendKey val="0"/>
          <c:showVal val="0"/>
          <c:showCatName val="0"/>
          <c:showSerName val="0"/>
          <c:showPercent val="0"/>
          <c:showBubbleSize val="0"/>
        </c:dLbls>
        <c:marker val="1"/>
        <c:smooth val="0"/>
        <c:axId val="556873680"/>
        <c:axId val="663577231"/>
      </c:lineChart>
      <c:catAx>
        <c:axId val="55687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77231"/>
        <c:crosses val="autoZero"/>
        <c:auto val="1"/>
        <c:lblAlgn val="ctr"/>
        <c:lblOffset val="100"/>
        <c:noMultiLvlLbl val="0"/>
      </c:catAx>
      <c:valAx>
        <c:axId val="663577231"/>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873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Underlying EBIT Margin - Historical &amp; 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Dashboard!$Q$9</c:f>
              <c:strCache>
                <c:ptCount val="1"/>
                <c:pt idx="0">
                  <c:v>EBIT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Dashboard!$P$10:$P$19</c:f>
              <c:strCache>
                <c:ptCount val="10"/>
                <c:pt idx="0">
                  <c:v>FY2021</c:v>
                </c:pt>
                <c:pt idx="1">
                  <c:v>FY2022</c:v>
                </c:pt>
                <c:pt idx="2">
                  <c:v>FY2023</c:v>
                </c:pt>
                <c:pt idx="3">
                  <c:v>FY2024</c:v>
                </c:pt>
                <c:pt idx="4">
                  <c:v>FY2025</c:v>
                </c:pt>
                <c:pt idx="5">
                  <c:v>FY2026E</c:v>
                </c:pt>
                <c:pt idx="6">
                  <c:v>FY2027E</c:v>
                </c:pt>
                <c:pt idx="7">
                  <c:v>FY2028E</c:v>
                </c:pt>
                <c:pt idx="8">
                  <c:v>FY2029E</c:v>
                </c:pt>
                <c:pt idx="9">
                  <c:v>FY2030E</c:v>
                </c:pt>
              </c:strCache>
            </c:strRef>
          </c:cat>
          <c:val>
            <c:numRef>
              <c:f>Dashboard!$Q$10:$Q$19</c:f>
              <c:numCache>
                <c:formatCode>0.0%;[Red]\(0.0%\);\-</c:formatCode>
                <c:ptCount val="10"/>
                <c:pt idx="0">
                  <c:v>3.7818580432995338E-2</c:v>
                </c:pt>
                <c:pt idx="1">
                  <c:v>5.1374990150500358E-2</c:v>
                </c:pt>
                <c:pt idx="2">
                  <c:v>0.10318644947757803</c:v>
                </c:pt>
                <c:pt idx="3">
                  <c:v>0.13805468399820708</c:v>
                </c:pt>
                <c:pt idx="4">
                  <c:v>0.1725908569719328</c:v>
                </c:pt>
                <c:pt idx="5">
                  <c:v>0.20594275195263603</c:v>
                </c:pt>
                <c:pt idx="6">
                  <c:v>0.19063320495484964</c:v>
                </c:pt>
                <c:pt idx="7">
                  <c:v>0.19129306369780588</c:v>
                </c:pt>
                <c:pt idx="8">
                  <c:v>0.1915354653941346</c:v>
                </c:pt>
                <c:pt idx="9">
                  <c:v>0.19137317784137434</c:v>
                </c:pt>
              </c:numCache>
            </c:numRef>
          </c:val>
          <c:smooth val="0"/>
          <c:extLst>
            <c:ext xmlns:c16="http://schemas.microsoft.com/office/drawing/2014/chart" uri="{C3380CC4-5D6E-409C-BE32-E72D297353CC}">
              <c16:uniqueId val="{00000000-DB8E-4A54-809D-0C46F15AF81C}"/>
            </c:ext>
          </c:extLst>
        </c:ser>
        <c:dLbls>
          <c:showLegendKey val="0"/>
          <c:showVal val="0"/>
          <c:showCatName val="0"/>
          <c:showSerName val="0"/>
          <c:showPercent val="0"/>
          <c:showBubbleSize val="0"/>
        </c:dLbls>
        <c:marker val="1"/>
        <c:smooth val="0"/>
        <c:axId val="556876928"/>
        <c:axId val="663604591"/>
      </c:lineChart>
      <c:catAx>
        <c:axId val="55687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604591"/>
        <c:crosses val="autoZero"/>
        <c:auto val="1"/>
        <c:lblAlgn val="ctr"/>
        <c:lblOffset val="100"/>
        <c:noMultiLvlLbl val="0"/>
      </c:catAx>
      <c:valAx>
        <c:axId val="663604591"/>
        <c:scaling>
          <c:orientation val="minMax"/>
        </c:scaling>
        <c:delete val="0"/>
        <c:axPos val="l"/>
        <c:majorGridlines>
          <c:spPr>
            <a:ln w="9525" cap="flat" cmpd="sng" algn="ctr">
              <a:solidFill>
                <a:schemeClr val="tx1">
                  <a:lumMod val="15000"/>
                  <a:lumOff val="85000"/>
                </a:schemeClr>
              </a:solidFill>
              <a:round/>
            </a:ln>
            <a:effectLst/>
          </c:spPr>
        </c:majorGridlines>
        <c:numFmt formatCode="0.0%;[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876928"/>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Unlevered Free Cash Flow Outlook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Dashboard!$T$9</c:f>
              <c:strCache>
                <c:ptCount val="1"/>
                <c:pt idx="0">
                  <c:v>UFCF (£m)</c:v>
                </c:pt>
              </c:strCache>
            </c:strRef>
          </c:tx>
          <c:spPr>
            <a:solidFill>
              <a:schemeClr val="accent1"/>
            </a:solidFill>
            <a:ln>
              <a:noFill/>
            </a:ln>
            <a:effectLst/>
          </c:spPr>
          <c:invertIfNegative val="0"/>
          <c:cat>
            <c:strRef>
              <c:f>Dashboard!$S$10:$S$14</c:f>
              <c:strCache>
                <c:ptCount val="5"/>
                <c:pt idx="0">
                  <c:v>FY2026E</c:v>
                </c:pt>
                <c:pt idx="1">
                  <c:v>FY2027E</c:v>
                </c:pt>
                <c:pt idx="2">
                  <c:v>FY2028E</c:v>
                </c:pt>
                <c:pt idx="3">
                  <c:v>FY2029E</c:v>
                </c:pt>
                <c:pt idx="4">
                  <c:v>FY2030E</c:v>
                </c:pt>
              </c:strCache>
            </c:strRef>
          </c:cat>
          <c:val>
            <c:numRef>
              <c:f>Dashboard!$T$10:$T$14</c:f>
              <c:numCache>
                <c:formatCode>#,##0;[Red]\(#,##0\);\-</c:formatCode>
                <c:ptCount val="5"/>
                <c:pt idx="0">
                  <c:v>4006.9847132683567</c:v>
                </c:pt>
                <c:pt idx="1">
                  <c:v>4151.4340827210062</c:v>
                </c:pt>
                <c:pt idx="2">
                  <c:v>4557.8524882788888</c:v>
                </c:pt>
                <c:pt idx="3">
                  <c:v>4915.612944694848</c:v>
                </c:pt>
                <c:pt idx="4">
                  <c:v>5207.4201808193193</c:v>
                </c:pt>
              </c:numCache>
            </c:numRef>
          </c:val>
          <c:extLst>
            <c:ext xmlns:c16="http://schemas.microsoft.com/office/drawing/2014/chart" uri="{C3380CC4-5D6E-409C-BE32-E72D297353CC}">
              <c16:uniqueId val="{00000000-C177-449A-A2DC-995C7914D623}"/>
            </c:ext>
          </c:extLst>
        </c:ser>
        <c:dLbls>
          <c:showLegendKey val="0"/>
          <c:showVal val="0"/>
          <c:showCatName val="0"/>
          <c:showSerName val="0"/>
          <c:showPercent val="0"/>
          <c:showBubbleSize val="0"/>
        </c:dLbls>
        <c:gapWidth val="219"/>
        <c:overlap val="-27"/>
        <c:axId val="556934464"/>
        <c:axId val="663552271"/>
      </c:barChart>
      <c:catAx>
        <c:axId val="55693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52271"/>
        <c:crosses val="autoZero"/>
        <c:auto val="1"/>
        <c:lblAlgn val="ctr"/>
        <c:lblOffset val="100"/>
        <c:noMultiLvlLbl val="0"/>
      </c:catAx>
      <c:valAx>
        <c:axId val="663552271"/>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3446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112395</xdr:colOff>
      <xdr:row>0</xdr:row>
      <xdr:rowOff>46670</xdr:rowOff>
    </xdr:from>
    <xdr:to>
      <xdr:col>13</xdr:col>
      <xdr:colOff>541020</xdr:colOff>
      <xdr:row>6</xdr:row>
      <xdr:rowOff>64769</xdr:rowOff>
    </xdr:to>
    <xdr:sp macro="" textlink="">
      <xdr:nvSpPr>
        <xdr:cNvPr id="2" name="TextBox 1">
          <a:extLst>
            <a:ext uri="{FF2B5EF4-FFF2-40B4-BE49-F238E27FC236}">
              <a16:creationId xmlns:a16="http://schemas.microsoft.com/office/drawing/2014/main" id="{C8957217-DC07-D24A-3B22-38A0F48095E7}"/>
            </a:ext>
          </a:extLst>
        </xdr:cNvPr>
        <xdr:cNvSpPr txBox="1"/>
      </xdr:nvSpPr>
      <xdr:spPr>
        <a:xfrm>
          <a:off x="112395" y="46670"/>
          <a:ext cx="8353425" cy="11039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Objective</a:t>
          </a:r>
        </a:p>
        <a:p>
          <a:br>
            <a:rPr lang="en-GB" sz="1400"/>
          </a:br>
          <a:r>
            <a:rPr lang="en-GB" sz="1400"/>
            <a:t>Build an integrated financial model incorporating automated financial-data extraction, historical analysis, operating forecasts, DCF valuation, comparable-company analysis, and an executive dashboard for Rolls-Royce Holdings plc.</a:t>
          </a:r>
        </a:p>
      </xdr:txBody>
    </xdr:sp>
    <xdr:clientData/>
  </xdr:twoCellAnchor>
  <xdr:twoCellAnchor>
    <xdr:from>
      <xdr:col>0</xdr:col>
      <xdr:colOff>154304</xdr:colOff>
      <xdr:row>6</xdr:row>
      <xdr:rowOff>98107</xdr:rowOff>
    </xdr:from>
    <xdr:to>
      <xdr:col>13</xdr:col>
      <xdr:colOff>582929</xdr:colOff>
      <xdr:row>14</xdr:row>
      <xdr:rowOff>0</xdr:rowOff>
    </xdr:to>
    <xdr:sp macro="" textlink="">
      <xdr:nvSpPr>
        <xdr:cNvPr id="3" name="TextBox 2">
          <a:extLst>
            <a:ext uri="{FF2B5EF4-FFF2-40B4-BE49-F238E27FC236}">
              <a16:creationId xmlns:a16="http://schemas.microsoft.com/office/drawing/2014/main" id="{31789135-904C-38D9-8B5C-ECFE8D61AFEC}"/>
            </a:ext>
          </a:extLst>
        </xdr:cNvPr>
        <xdr:cNvSpPr txBox="1"/>
      </xdr:nvSpPr>
      <xdr:spPr>
        <a:xfrm>
          <a:off x="154304" y="1183957"/>
          <a:ext cx="8353425" cy="13496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Company</a:t>
          </a:r>
        </a:p>
        <a:p>
          <a:br>
            <a:rPr lang="en-GB"/>
          </a:br>
          <a:r>
            <a:rPr lang="en-GB" sz="1400"/>
            <a:t>Rolls-Royce is an industrial technology company operating principally in Civil Aerospace, Defence, and Power Systems. Its core activities include the development, manufacture, sale, and servicing of propulsion and power systems.</a:t>
          </a:r>
        </a:p>
      </xdr:txBody>
    </xdr:sp>
    <xdr:clientData/>
  </xdr:twoCellAnchor>
  <xdr:twoCellAnchor>
    <xdr:from>
      <xdr:col>0</xdr:col>
      <xdr:colOff>140970</xdr:colOff>
      <xdr:row>14</xdr:row>
      <xdr:rowOff>28574</xdr:rowOff>
    </xdr:from>
    <xdr:to>
      <xdr:col>14</xdr:col>
      <xdr:colOff>19050</xdr:colOff>
      <xdr:row>52</xdr:row>
      <xdr:rowOff>152399</xdr:rowOff>
    </xdr:to>
    <xdr:sp macro="" textlink="">
      <xdr:nvSpPr>
        <xdr:cNvPr id="4" name="TextBox 3">
          <a:extLst>
            <a:ext uri="{FF2B5EF4-FFF2-40B4-BE49-F238E27FC236}">
              <a16:creationId xmlns:a16="http://schemas.microsoft.com/office/drawing/2014/main" id="{8630C1C8-CC68-E066-B5EB-10FBFE4EE3E1}"/>
            </a:ext>
          </a:extLst>
        </xdr:cNvPr>
        <xdr:cNvSpPr txBox="1"/>
      </xdr:nvSpPr>
      <xdr:spPr>
        <a:xfrm>
          <a:off x="140970" y="2562224"/>
          <a:ext cx="8412480" cy="7000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Historical period</a:t>
          </a:r>
        </a:p>
        <a:p>
          <a:br>
            <a:rPr lang="en-GB" sz="1400"/>
          </a:br>
          <a:r>
            <a:rPr lang="en-GB" sz="1400"/>
            <a:t>FY2016–FY2025.</a:t>
          </a:r>
        </a:p>
        <a:p>
          <a:endParaRPr lang="en-GB" sz="1400"/>
        </a:p>
        <a:p>
          <a:r>
            <a:rPr lang="en-GB" sz="1800" b="1"/>
            <a:t>Forecast period</a:t>
          </a:r>
        </a:p>
        <a:p>
          <a:br>
            <a:rPr lang="en-GB" sz="1400"/>
          </a:br>
          <a:r>
            <a:rPr lang="en-GB" sz="1400"/>
            <a:t>FY2026–FY2030.</a:t>
          </a:r>
        </a:p>
        <a:p>
          <a:endParaRPr lang="en-GB" sz="1400"/>
        </a:p>
        <a:p>
          <a:r>
            <a:rPr lang="en-GB" sz="1800" b="1"/>
            <a:t>Primary valuation methodology</a:t>
          </a:r>
        </a:p>
        <a:p>
          <a:br>
            <a:rPr lang="en-GB" sz="1400"/>
          </a:br>
          <a:r>
            <a:rPr lang="en-GB" sz="1400"/>
            <a:t>Discounted Cash Flow using unlevered free cash flow and WACC. Comparable-company multiples act as a secondary valuation cross-check.</a:t>
          </a:r>
        </a:p>
        <a:p>
          <a:endParaRPr lang="en-GB" sz="1400"/>
        </a:p>
        <a:p>
          <a:r>
            <a:rPr lang="en-GB" sz="1800" b="1"/>
            <a:t>Data sources</a:t>
          </a:r>
        </a:p>
        <a:p>
          <a:br>
            <a:rPr lang="en-GB" sz="1400"/>
          </a:br>
          <a:r>
            <a:rPr lang="en-GB" sz="1400"/>
            <a:t>Rolls-Royce annual reports, full-year results announcements, investor presentations, London Stock Exchange market data, and peer-company annual reports.</a:t>
          </a:r>
        </a:p>
        <a:p>
          <a:endParaRPr lang="en-GB" sz="1400"/>
        </a:p>
        <a:p>
          <a:r>
            <a:rPr lang="en-GB" sz="1800" b="1"/>
            <a:t>Important modelling convention</a:t>
          </a:r>
        </a:p>
        <a:p>
          <a:br>
            <a:rPr lang="en-GB" sz="1400"/>
          </a:br>
          <a:r>
            <a:rPr lang="en-GB" sz="1400"/>
            <a:t>Forecasts are based primarily on underlying operating performance, with statutory results retained for reconciliation and financial-statement integrity.</a:t>
          </a:r>
        </a:p>
        <a:p>
          <a:endParaRPr lang="en-GB" sz="1400"/>
        </a:p>
        <a:p>
          <a:r>
            <a:rPr lang="en-GB" sz="1800" b="1"/>
            <a:t>Disclaimer</a:t>
          </a:r>
        </a:p>
        <a:p>
          <a:br>
            <a:rPr lang="en-GB" sz="1400"/>
          </a:br>
          <a:r>
            <a:rPr lang="en-GB" sz="1400"/>
            <a:t>This model is for educational and portfolio purposes only. It is not investment research, financial advice, or a recommendation to buy, hold, or sell securities.</a:t>
          </a:r>
        </a:p>
        <a:p>
          <a:endParaRPr lang="en-GB" sz="1100"/>
        </a:p>
      </xdr:txBody>
    </xdr:sp>
    <xdr:clientData/>
  </xdr:twoCellAnchor>
  <xdr:twoCellAnchor>
    <xdr:from>
      <xdr:col>0</xdr:col>
      <xdr:colOff>104773</xdr:colOff>
      <xdr:row>53</xdr:row>
      <xdr:rowOff>28575</xdr:rowOff>
    </xdr:from>
    <xdr:to>
      <xdr:col>14</xdr:col>
      <xdr:colOff>9524</xdr:colOff>
      <xdr:row>66</xdr:row>
      <xdr:rowOff>93345</xdr:rowOff>
    </xdr:to>
    <xdr:sp macro="" textlink="">
      <xdr:nvSpPr>
        <xdr:cNvPr id="5" name="TextBox 4">
          <a:extLst>
            <a:ext uri="{FF2B5EF4-FFF2-40B4-BE49-F238E27FC236}">
              <a16:creationId xmlns:a16="http://schemas.microsoft.com/office/drawing/2014/main" id="{B6050284-B520-787F-E481-B5C365736C5C}"/>
            </a:ext>
          </a:extLst>
        </xdr:cNvPr>
        <xdr:cNvSpPr txBox="1"/>
      </xdr:nvSpPr>
      <xdr:spPr>
        <a:xfrm>
          <a:off x="104773" y="9620250"/>
          <a:ext cx="8439151" cy="24174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Automation &amp; Refresh</a:t>
          </a:r>
        </a:p>
        <a:p>
          <a:endParaRPr lang="en-GB" sz="1100"/>
        </a:p>
        <a:p>
          <a:r>
            <a:rPr lang="en-GB" sz="1400"/>
            <a:t>Historical FY2024–FY2025 statutory financial data is retrieved and transformed using Power Query. Companies House filing information is accessed through its public API. Power Pivot and DAX are used to relate financial periods and concepts and provide analytical outputs. Refresh using Data → Refresh All in desktop Excel.</a:t>
          </a:r>
        </a:p>
        <a:p>
          <a:endParaRPr lang="en-GB" sz="1100"/>
        </a:p>
        <a:p>
          <a:r>
            <a:rPr lang="en-GB" sz="1800" b="1"/>
            <a:t>Workbook Structure</a:t>
          </a:r>
        </a:p>
        <a:p>
          <a:endParaRPr lang="en-GB"/>
        </a:p>
        <a:p>
          <a:r>
            <a:rPr lang="en-GB" sz="1400"/>
            <a:t>Raw_Data → Historical_FS → Ratio_Analysis → Operating_Drivers → Forecast_Model → DCF → Comparable_Companies → Sensitivity → Dashboard → Checks → Sources. Power_Pivot_Analysis demonstrates the workbook’s Data Model and DAX functionality.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30</xdr:row>
      <xdr:rowOff>168592</xdr:rowOff>
    </xdr:from>
    <xdr:to>
      <xdr:col>7</xdr:col>
      <xdr:colOff>9525</xdr:colOff>
      <xdr:row>45</xdr:row>
      <xdr:rowOff>9524</xdr:rowOff>
    </xdr:to>
    <xdr:graphicFrame macro="">
      <xdr:nvGraphicFramePr>
        <xdr:cNvPr id="2" name="Chart 1">
          <a:extLst>
            <a:ext uri="{FF2B5EF4-FFF2-40B4-BE49-F238E27FC236}">
              <a16:creationId xmlns:a16="http://schemas.microsoft.com/office/drawing/2014/main" id="{3BCD20E3-E314-5C8A-9335-6B0F4BB3C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257175</xdr:colOff>
      <xdr:row>30</xdr:row>
      <xdr:rowOff>170497</xdr:rowOff>
    </xdr:from>
    <xdr:to>
      <xdr:col>13</xdr:col>
      <xdr:colOff>542925</xdr:colOff>
      <xdr:row>44</xdr:row>
      <xdr:rowOff>152400</xdr:rowOff>
    </xdr:to>
    <xdr:graphicFrame macro="">
      <xdr:nvGraphicFramePr>
        <xdr:cNvPr id="3" name="Chart 2">
          <a:extLst>
            <a:ext uri="{FF2B5EF4-FFF2-40B4-BE49-F238E27FC236}">
              <a16:creationId xmlns:a16="http://schemas.microsoft.com/office/drawing/2014/main" id="{25173797-178E-1DCD-BD47-C340DD47C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178117</xdr:rowOff>
    </xdr:from>
    <xdr:to>
      <xdr:col>6</xdr:col>
      <xdr:colOff>542925</xdr:colOff>
      <xdr:row>63</xdr:row>
      <xdr:rowOff>0</xdr:rowOff>
    </xdr:to>
    <xdr:graphicFrame macro="">
      <xdr:nvGraphicFramePr>
        <xdr:cNvPr id="4" name="Chart 3">
          <a:extLst>
            <a:ext uri="{FF2B5EF4-FFF2-40B4-BE49-F238E27FC236}">
              <a16:creationId xmlns:a16="http://schemas.microsoft.com/office/drawing/2014/main" id="{AFDCBF5A-A3E2-052F-EF4B-58D5671EF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180023</xdr:colOff>
      <xdr:row>48</xdr:row>
      <xdr:rowOff>16193</xdr:rowOff>
    </xdr:from>
    <xdr:to>
      <xdr:col>13</xdr:col>
      <xdr:colOff>533401</xdr:colOff>
      <xdr:row>62</xdr:row>
      <xdr:rowOff>152401</xdr:rowOff>
    </xdr:to>
    <xdr:graphicFrame macro="">
      <xdr:nvGraphicFramePr>
        <xdr:cNvPr id="5" name="Chart 4">
          <a:extLst>
            <a:ext uri="{FF2B5EF4-FFF2-40B4-BE49-F238E27FC236}">
              <a16:creationId xmlns:a16="http://schemas.microsoft.com/office/drawing/2014/main" id="{6D4D3B12-227D-3959-36C1-9FF72B0A5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313371</xdr:colOff>
      <xdr:row>63</xdr:row>
      <xdr:rowOff>136206</xdr:rowOff>
    </xdr:from>
    <xdr:to>
      <xdr:col>12</xdr:col>
      <xdr:colOff>150495</xdr:colOff>
      <xdr:row>80</xdr:row>
      <xdr:rowOff>116205</xdr:rowOff>
    </xdr:to>
    <xdr:graphicFrame macro="">
      <xdr:nvGraphicFramePr>
        <xdr:cNvPr id="6" name="Chart 5">
          <a:extLst>
            <a:ext uri="{FF2B5EF4-FFF2-40B4-BE49-F238E27FC236}">
              <a16:creationId xmlns:a16="http://schemas.microsoft.com/office/drawing/2014/main" id="{E7170154-E2B5-1462-6A6B-C9A484E37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324802</xdr:colOff>
      <xdr:row>81</xdr:row>
      <xdr:rowOff>25717</xdr:rowOff>
    </xdr:from>
    <xdr:to>
      <xdr:col>12</xdr:col>
      <xdr:colOff>15240</xdr:colOff>
      <xdr:row>98</xdr:row>
      <xdr:rowOff>38100</xdr:rowOff>
    </xdr:to>
    <xdr:graphicFrame macro="">
      <xdr:nvGraphicFramePr>
        <xdr:cNvPr id="7" name="Chart 6">
          <a:extLst>
            <a:ext uri="{FF2B5EF4-FFF2-40B4-BE49-F238E27FC236}">
              <a16:creationId xmlns:a16="http://schemas.microsoft.com/office/drawing/2014/main" id="{962504FE-461B-2FBE-51BC-CAA3A530E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63701</xdr:colOff>
      <xdr:row>52</xdr:row>
      <xdr:rowOff>181765</xdr:rowOff>
    </xdr:from>
    <xdr:to>
      <xdr:col>15</xdr:col>
      <xdr:colOff>371708</xdr:colOff>
      <xdr:row>56</xdr:row>
      <xdr:rowOff>34848</xdr:rowOff>
    </xdr:to>
    <xdr:sp macro="" textlink="">
      <xdr:nvSpPr>
        <xdr:cNvPr id="2" name="TextBox 1">
          <a:extLst>
            <a:ext uri="{FF2B5EF4-FFF2-40B4-BE49-F238E27FC236}">
              <a16:creationId xmlns:a16="http://schemas.microsoft.com/office/drawing/2014/main" id="{FC00169C-F602-9B04-B0FB-9D65BB7753AA}"/>
            </a:ext>
          </a:extLst>
        </xdr:cNvPr>
        <xdr:cNvSpPr txBox="1"/>
      </xdr:nvSpPr>
      <xdr:spPr>
        <a:xfrm>
          <a:off x="63701" y="9985545"/>
          <a:ext cx="11563769" cy="5964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Historical comparability note:</a:t>
          </a:r>
          <a:r>
            <a:rPr lang="en-GB" sz="1200"/>
            <a:t> FY2016 precedes IFRS 15 adoption; FY2017 comparatives were subsequently restated for IFRS 15. FY2020 comparatives were restated in FY2021 to reflect ITP Aero as discontinued and changes to New Markets/Other Businesses classification. Segment classifications have evolved over the historical period.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dul Haque" refreshedDate="46247.740234027777" backgroundQuery="1" createdVersion="8" refreshedVersion="8" minRefreshableVersion="3" recordCount="0" supportSubquery="1" supportAdvancedDrill="1" xr:uid="{5C53DA39-C65B-4BC2-8E0D-0E78A5373491}">
  <cacheSource type="external" connectionId="10"/>
  <cacheFields count="1">
    <cacheField name="[Measures].[Revenue Growth]" caption="Revenue Growth" numFmtId="0" hierarchy="22" level="32767"/>
  </cacheFields>
  <cacheHierarchies count="29">
    <cacheHierarchy uniqueName="[Dim_Concept].[Concept ID]" caption="Concept ID" attribute="1" defaultMemberUniqueName="[Dim_Concept].[Concept ID].[All]" allUniqueName="[Dim_Concept].[Concept ID].[All]" dimensionUniqueName="[Dim_Concept]" displayFolder="" count="0" memberValueDatatype="20" unbalanced="0"/>
    <cacheHierarchy uniqueName="[Dim_Concept].[Statement]" caption="Statement" attribute="1" defaultMemberUniqueName="[Dim_Concept].[Statement].[All]" allUniqueName="[Dim_Concept].[Statement].[All]" dimensionUniqueName="[Dim_Concept]" displayFolder="" count="0" memberValueDatatype="130" unbalanced="0"/>
    <cacheHierarchy uniqueName="[Dim_Concept].[Financial Concept]" caption="Financial Concept" attribute="1" defaultMemberUniqueName="[Dim_Concept].[Financial Concept].[All]" allUniqueName="[Dim_Concept].[Financial Concept].[All]" dimensionUniqueName="[Dim_Concept]" displayFolder="" count="0" memberValueDatatype="130" unbalanced="0"/>
    <cacheHierarchy uniqueName="[Dim_Period].[Period]" caption="Period" attribute="1" defaultMemberUniqueName="[Dim_Period].[Period].[All]" allUniqueName="[Dim_Period].[Period].[All]" dimensionUniqueName="[Dim_Period]" displayFolder="" count="0" memberValueDatatype="130" unbalanced="0"/>
    <cacheHierarchy uniqueName="[Dim_Period].[Fiscal Year]" caption="Fiscal Year" attribute="1" defaultMemberUniqueName="[Dim_Period].[Fiscal Year].[All]" allUniqueName="[Dim_Period].[Fiscal Year].[All]" dimensionUniqueName="[Dim_Period]" displayFolder="" count="0" memberValueDatatype="130" unbalanced="0"/>
    <cacheHierarchy uniqueName="[Dim_Period].[Period Sort]" caption="Period Sort" attribute="1" defaultMemberUniqueName="[Dim_Period].[Period Sort].[All]" allUniqueName="[Dim_Period].[Period Sort].[All]" dimensionUniqueName="[Dim_Period]" displayFolder="" count="0" memberValueDatatype="130" unbalanced="0"/>
    <cacheHierarchy uniqueName="[Merge1].[Statement]" caption="Statement" attribute="1" defaultMemberUniqueName="[Merge1].[Statement].[All]" allUniqueName="[Merge1].[Statement].[All]" dimensionUniqueName="[Merge1]" displayFolder="" count="0" memberValueDatatype="130" unbalanced="0"/>
    <cacheHierarchy uniqueName="[Merge1].[Financial Statement Line]" caption="Financial Statement Line" attribute="1" defaultMemberUniqueName="[Merge1].[Financial Statement Line].[All]" allUniqueName="[Merge1].[Financial Statement Line].[All]" dimensionUniqueName="[Merge1]" displayFolder="" count="0" memberValueDatatype="130" unbalanced="0"/>
    <cacheHierarchy uniqueName="[Merge1].[Period]" caption="Period" attribute="1" defaultMemberUniqueName="[Merge1].[Period].[All]" allUniqueName="[Merge1].[Period].[All]" dimensionUniqueName="[Merge1]" displayFolder="" count="0" memberValueDatatype="130" unbalanced="0"/>
    <cacheHierarchy uniqueName="[Merge1].[Value]" caption="Value" attribute="1" defaultMemberUniqueName="[Merge1].[Value].[All]" allUniqueName="[Merge1].[Value].[All]" dimensionUniqueName="[Merge1]" displayFolder="" count="0" memberValueDatatype="5" unbalanced="0"/>
    <cacheHierarchy uniqueName="[Merge1].[Concept ID]" caption="Concept ID" attribute="1" defaultMemberUniqueName="[Merge1].[Concept ID].[All]" allUniqueName="[Merge1].[Concept ID].[All]" dimensionUniqueName="[Merge1]" displayFolder="" count="0" memberValueDatatype="20" unbalanced="0"/>
    <cacheHierarchy uniqueName="[PQ_Fact_Financials].[Statement]" caption="Statement" attribute="1" defaultMemberUniqueName="[PQ_Fact_Financials].[Statement].[All]" allUniqueName="[PQ_Fact_Financials].[Statement].[All]" dimensionUniqueName="[PQ_Fact_Financials]" displayFolder="" count="0" memberValueDatatype="130" unbalanced="0"/>
    <cacheHierarchy uniqueName="[PQ_Fact_Financials].[Financial Statement Line]" caption="Financial Statement Line" attribute="1" defaultMemberUniqueName="[PQ_Fact_Financials].[Financial Statement Line].[All]" allUniqueName="[PQ_Fact_Financials].[Financial Statement Line].[All]" dimensionUniqueName="[PQ_Fact_Financials]" displayFolder="" count="0" memberValueDatatype="130" unbalanced="0"/>
    <cacheHierarchy uniqueName="[PQ_Fact_Financials].[Period]" caption="Period" attribute="1" defaultMemberUniqueName="[PQ_Fact_Financials].[Period].[All]" allUniqueName="[PQ_Fact_Financials].[Period].[All]" dimensionUniqueName="[PQ_Fact_Financials]" displayFolder="" count="0" memberValueDatatype="130" unbalanced="0"/>
    <cacheHierarchy uniqueName="[PQ_Fact_Financials].[Value]" caption="Value" attribute="1" defaultMemberUniqueName="[PQ_Fact_Financials].[Value].[All]" allUniqueName="[PQ_Fact_Financials].[Value].[All]" dimensionUniqueName="[PQ_Fact_Financials]" displayFolder="" count="0" memberValueDatatype="5" unbalanced="0"/>
    <cacheHierarchy uniqueName="[Measures].[Total Financial Value]" caption="Total Financial Value" measure="1" displayFolder="" measureGroup="Merge1" count="0"/>
    <cacheHierarchy uniqueName="[Measures].[Revenue]" caption="Revenue" measure="1" displayFolder="" measureGroup="Merge1" count="0"/>
    <cacheHierarchy uniqueName="[Measures].[Operating Profit]" caption="Operating Profit" measure="1" displayFolder="" measureGroup="Merge1" count="0"/>
    <cacheHierarchy uniqueName="[Measures].[Gross Profit]" caption="Gross Profit" measure="1" displayFolder="" measureGroup="Merge1" count="0"/>
    <cacheHierarchy uniqueName="[Measures].[Operating Margin]" caption="Operating Margin" measure="1" displayFolder="" measureGroup="Merge1" count="0"/>
    <cacheHierarchy uniqueName="[Measures].[FY2025 Revenue]" caption="FY2025 Revenue" measure="1" displayFolder="" measureGroup="Merge1" count="0"/>
    <cacheHierarchy uniqueName="[Measures].[FY2024 Revenue]" caption="FY2024 Revenue" measure="1" displayFolder="" measureGroup="Merge1" count="0"/>
    <cacheHierarchy uniqueName="[Measures].[Revenue Growth]" caption="Revenue Growth" measure="1" displayFolder="" measureGroup="Merge1" count="0" oneField="1">
      <fieldsUsage count="1">
        <fieldUsage x="0"/>
      </fieldsUsage>
    </cacheHierarchy>
    <cacheHierarchy uniqueName="[Measures].[Operating Profit Growth]" caption="Operating Profit Growth" measure="1" displayFolder="" measureGroup="Merge1" count="0"/>
    <cacheHierarchy uniqueName="[Measures].[__XL_Count PQ_Fact_Financials]" caption="__XL_Count PQ_Fact_Financials" measure="1" displayFolder="" measureGroup="PQ_Fact_Financials" count="0" hidden="1"/>
    <cacheHierarchy uniqueName="[Measures].[__XL_Count Dim_Period]" caption="__XL_Count Dim_Period" measure="1" displayFolder="" measureGroup="Dim_Period" count="0" hidden="1"/>
    <cacheHierarchy uniqueName="[Measures].[__XL_Count Dim_Concept]" caption="__XL_Count Dim_Concept" measure="1" displayFolder="" measureGroup="Dim_Concept"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5">
    <dimension name="Dim_Concept" uniqueName="[Dim_Concept]" caption="Dim_Concept"/>
    <dimension name="Dim_Period" uniqueName="[Dim_Period]" caption="Dim_Period"/>
    <dimension measure="1" name="Measures" uniqueName="[Measures]" caption="Measures"/>
    <dimension name="Merge1" uniqueName="[Merge1]" caption="Merge1"/>
    <dimension name="PQ_Fact_Financials" uniqueName="[PQ_Fact_Financials]" caption="PQ_Fact_Financials"/>
  </dimensions>
  <measureGroups count="4">
    <measureGroup name="Dim_Concept" caption="Dim_Concept"/>
    <measureGroup name="Dim_Period" caption="Dim_Period"/>
    <measureGroup name="Merge1" caption="Merge1"/>
    <measureGroup name="PQ_Fact_Financials" caption="PQ_Fact_Financials"/>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dul Haque" refreshedDate="46247.740235185185" backgroundQuery="1" createdVersion="8" refreshedVersion="8" minRefreshableVersion="3" recordCount="0" supportSubquery="1" supportAdvancedDrill="1" xr:uid="{48008B5C-3AF5-4136-A83F-451F60273FAF}">
  <cacheSource type="external" connectionId="10"/>
  <cacheFields count="4">
    <cacheField name="[Dim_Period].[Period].[Period]" caption="Period" numFmtId="0" hierarchy="3" level="1">
      <sharedItems count="2">
        <s v="FY2024"/>
        <s v="FY2025"/>
      </sharedItems>
    </cacheField>
    <cacheField name="[Measures].[Revenue]" caption="Revenue" numFmtId="0" hierarchy="16" level="32767"/>
    <cacheField name="[Measures].[Operating Profit]" caption="Operating Profit" numFmtId="0" hierarchy="17" level="32767"/>
    <cacheField name="[Measures].[Operating Margin]" caption="Operating Margin" numFmtId="0" hierarchy="19" level="32767"/>
  </cacheFields>
  <cacheHierarchies count="29">
    <cacheHierarchy uniqueName="[Dim_Concept].[Concept ID]" caption="Concept ID" attribute="1" defaultMemberUniqueName="[Dim_Concept].[Concept ID].[All]" allUniqueName="[Dim_Concept].[Concept ID].[All]" dimensionUniqueName="[Dim_Concept]" displayFolder="" count="0" memberValueDatatype="20" unbalanced="0"/>
    <cacheHierarchy uniqueName="[Dim_Concept].[Statement]" caption="Statement" attribute="1" defaultMemberUniqueName="[Dim_Concept].[Statement].[All]" allUniqueName="[Dim_Concept].[Statement].[All]" dimensionUniqueName="[Dim_Concept]" displayFolder="" count="0" memberValueDatatype="130" unbalanced="0"/>
    <cacheHierarchy uniqueName="[Dim_Concept].[Financial Concept]" caption="Financial Concept" attribute="1" defaultMemberUniqueName="[Dim_Concept].[Financial Concept].[All]" allUniqueName="[Dim_Concept].[Financial Concept].[All]" dimensionUniqueName="[Dim_Concept]" displayFolder="" count="0" memberValueDatatype="130" unbalanced="0"/>
    <cacheHierarchy uniqueName="[Dim_Period].[Period]" caption="Period" attribute="1" defaultMemberUniqueName="[Dim_Period].[Period].[All]" allUniqueName="[Dim_Period].[Period].[All]" dimensionUniqueName="[Dim_Period]" displayFolder="" count="2" memberValueDatatype="130" unbalanced="0">
      <fieldsUsage count="2">
        <fieldUsage x="-1"/>
        <fieldUsage x="0"/>
      </fieldsUsage>
    </cacheHierarchy>
    <cacheHierarchy uniqueName="[Dim_Period].[Fiscal Year]" caption="Fiscal Year" attribute="1" defaultMemberUniqueName="[Dim_Period].[Fiscal Year].[All]" allUniqueName="[Dim_Period].[Fiscal Year].[All]" dimensionUniqueName="[Dim_Period]" displayFolder="" count="0" memberValueDatatype="130" unbalanced="0"/>
    <cacheHierarchy uniqueName="[Dim_Period].[Period Sort]" caption="Period Sort" attribute="1" defaultMemberUniqueName="[Dim_Period].[Period Sort].[All]" allUniqueName="[Dim_Period].[Period Sort].[All]" dimensionUniqueName="[Dim_Period]" displayFolder="" count="0" memberValueDatatype="130" unbalanced="0"/>
    <cacheHierarchy uniqueName="[Merge1].[Statement]" caption="Statement" attribute="1" defaultMemberUniqueName="[Merge1].[Statement].[All]" allUniqueName="[Merge1].[Statement].[All]" dimensionUniqueName="[Merge1]" displayFolder="" count="0" memberValueDatatype="130" unbalanced="0"/>
    <cacheHierarchy uniqueName="[Merge1].[Financial Statement Line]" caption="Financial Statement Line" attribute="1" defaultMemberUniqueName="[Merge1].[Financial Statement Line].[All]" allUniqueName="[Merge1].[Financial Statement Line].[All]" dimensionUniqueName="[Merge1]" displayFolder="" count="0" memberValueDatatype="130" unbalanced="0"/>
    <cacheHierarchy uniqueName="[Merge1].[Period]" caption="Period" attribute="1" defaultMemberUniqueName="[Merge1].[Period].[All]" allUniqueName="[Merge1].[Period].[All]" dimensionUniqueName="[Merge1]" displayFolder="" count="0" memberValueDatatype="130" unbalanced="0"/>
    <cacheHierarchy uniqueName="[Merge1].[Value]" caption="Value" attribute="1" defaultMemberUniqueName="[Merge1].[Value].[All]" allUniqueName="[Merge1].[Value].[All]" dimensionUniqueName="[Merge1]" displayFolder="" count="0" memberValueDatatype="5" unbalanced="0"/>
    <cacheHierarchy uniqueName="[Merge1].[Concept ID]" caption="Concept ID" attribute="1" defaultMemberUniqueName="[Merge1].[Concept ID].[All]" allUniqueName="[Merge1].[Concept ID].[All]" dimensionUniqueName="[Merge1]" displayFolder="" count="0" memberValueDatatype="20" unbalanced="0"/>
    <cacheHierarchy uniqueName="[PQ_Fact_Financials].[Statement]" caption="Statement" attribute="1" defaultMemberUniqueName="[PQ_Fact_Financials].[Statement].[All]" allUniqueName="[PQ_Fact_Financials].[Statement].[All]" dimensionUniqueName="[PQ_Fact_Financials]" displayFolder="" count="0" memberValueDatatype="130" unbalanced="0"/>
    <cacheHierarchy uniqueName="[PQ_Fact_Financials].[Financial Statement Line]" caption="Financial Statement Line" attribute="1" defaultMemberUniqueName="[PQ_Fact_Financials].[Financial Statement Line].[All]" allUniqueName="[PQ_Fact_Financials].[Financial Statement Line].[All]" dimensionUniqueName="[PQ_Fact_Financials]" displayFolder="" count="0" memberValueDatatype="130" unbalanced="0"/>
    <cacheHierarchy uniqueName="[PQ_Fact_Financials].[Period]" caption="Period" attribute="1" defaultMemberUniqueName="[PQ_Fact_Financials].[Period].[All]" allUniqueName="[PQ_Fact_Financials].[Period].[All]" dimensionUniqueName="[PQ_Fact_Financials]" displayFolder="" count="0" memberValueDatatype="130" unbalanced="0"/>
    <cacheHierarchy uniqueName="[PQ_Fact_Financials].[Value]" caption="Value" attribute="1" defaultMemberUniqueName="[PQ_Fact_Financials].[Value].[All]" allUniqueName="[PQ_Fact_Financials].[Value].[All]" dimensionUniqueName="[PQ_Fact_Financials]" displayFolder="" count="0" memberValueDatatype="5" unbalanced="0"/>
    <cacheHierarchy uniqueName="[Measures].[Total Financial Value]" caption="Total Financial Value" measure="1" displayFolder="" measureGroup="Merge1" count="0"/>
    <cacheHierarchy uniqueName="[Measures].[Revenue]" caption="Revenue" measure="1" displayFolder="" measureGroup="Merge1" count="0" oneField="1">
      <fieldsUsage count="1">
        <fieldUsage x="1"/>
      </fieldsUsage>
    </cacheHierarchy>
    <cacheHierarchy uniqueName="[Measures].[Operating Profit]" caption="Operating Profit" measure="1" displayFolder="" measureGroup="Merge1" count="0" oneField="1">
      <fieldsUsage count="1">
        <fieldUsage x="2"/>
      </fieldsUsage>
    </cacheHierarchy>
    <cacheHierarchy uniqueName="[Measures].[Gross Profit]" caption="Gross Profit" measure="1" displayFolder="" measureGroup="Merge1" count="0"/>
    <cacheHierarchy uniqueName="[Measures].[Operating Margin]" caption="Operating Margin" measure="1" displayFolder="" measureGroup="Merge1" count="0" oneField="1">
      <fieldsUsage count="1">
        <fieldUsage x="3"/>
      </fieldsUsage>
    </cacheHierarchy>
    <cacheHierarchy uniqueName="[Measures].[FY2025 Revenue]" caption="FY2025 Revenue" measure="1" displayFolder="" measureGroup="Merge1" count="0"/>
    <cacheHierarchy uniqueName="[Measures].[FY2024 Revenue]" caption="FY2024 Revenue" measure="1" displayFolder="" measureGroup="Merge1" count="0"/>
    <cacheHierarchy uniqueName="[Measures].[Revenue Growth]" caption="Revenue Growth" measure="1" displayFolder="" measureGroup="Merge1" count="0"/>
    <cacheHierarchy uniqueName="[Measures].[Operating Profit Growth]" caption="Operating Profit Growth" measure="1" displayFolder="" measureGroup="Merge1" count="0"/>
    <cacheHierarchy uniqueName="[Measures].[__XL_Count PQ_Fact_Financials]" caption="__XL_Count PQ_Fact_Financials" measure="1" displayFolder="" measureGroup="PQ_Fact_Financials" count="0" hidden="1"/>
    <cacheHierarchy uniqueName="[Measures].[__XL_Count Dim_Period]" caption="__XL_Count Dim_Period" measure="1" displayFolder="" measureGroup="Dim_Period" count="0" hidden="1"/>
    <cacheHierarchy uniqueName="[Measures].[__XL_Count Dim_Concept]" caption="__XL_Count Dim_Concept" measure="1" displayFolder="" measureGroup="Dim_Concept"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5">
    <dimension name="Dim_Concept" uniqueName="[Dim_Concept]" caption="Dim_Concept"/>
    <dimension name="Dim_Period" uniqueName="[Dim_Period]" caption="Dim_Period"/>
    <dimension measure="1" name="Measures" uniqueName="[Measures]" caption="Measures"/>
    <dimension name="Merge1" uniqueName="[Merge1]" caption="Merge1"/>
    <dimension name="PQ_Fact_Financials" uniqueName="[PQ_Fact_Financials]" caption="PQ_Fact_Financials"/>
  </dimensions>
  <measureGroups count="4">
    <measureGroup name="Dim_Concept" caption="Dim_Concept"/>
    <measureGroup name="Dim_Period" caption="Dim_Period"/>
    <measureGroup name="Merge1" caption="Merge1"/>
    <measureGroup name="PQ_Fact_Financials" caption="PQ_Fact_Financials"/>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dul Haque" refreshedDate="46247.74055613426" backgroundQuery="1" createdVersion="8" refreshedVersion="8" minRefreshableVersion="3" recordCount="0" supportSubquery="1" supportAdvancedDrill="1" xr:uid="{5EDF8494-0757-4925-BF97-A906154E63FB}">
  <cacheSource type="external" connectionId="10"/>
  <cacheFields count="1">
    <cacheField name="[Measures].[Operating Profit Growth]" caption="Operating Profit Growth" numFmtId="0" hierarchy="23" level="32767"/>
  </cacheFields>
  <cacheHierarchies count="29">
    <cacheHierarchy uniqueName="[Dim_Concept].[Concept ID]" caption="Concept ID" attribute="1" defaultMemberUniqueName="[Dim_Concept].[Concept ID].[All]" allUniqueName="[Dim_Concept].[Concept ID].[All]" dimensionUniqueName="[Dim_Concept]" displayFolder="" count="0" memberValueDatatype="20" unbalanced="0"/>
    <cacheHierarchy uniqueName="[Dim_Concept].[Statement]" caption="Statement" attribute="1" defaultMemberUniqueName="[Dim_Concept].[Statement].[All]" allUniqueName="[Dim_Concept].[Statement].[All]" dimensionUniqueName="[Dim_Concept]" displayFolder="" count="0" memberValueDatatype="130" unbalanced="0"/>
    <cacheHierarchy uniqueName="[Dim_Concept].[Financial Concept]" caption="Financial Concept" attribute="1" defaultMemberUniqueName="[Dim_Concept].[Financial Concept].[All]" allUniqueName="[Dim_Concept].[Financial Concept].[All]" dimensionUniqueName="[Dim_Concept]" displayFolder="" count="0" memberValueDatatype="130" unbalanced="0"/>
    <cacheHierarchy uniqueName="[Dim_Period].[Period]" caption="Period" attribute="1" defaultMemberUniqueName="[Dim_Period].[Period].[All]" allUniqueName="[Dim_Period].[Period].[All]" dimensionUniqueName="[Dim_Period]" displayFolder="" count="0" memberValueDatatype="130" unbalanced="0"/>
    <cacheHierarchy uniqueName="[Dim_Period].[Fiscal Year]" caption="Fiscal Year" attribute="1" defaultMemberUniqueName="[Dim_Period].[Fiscal Year].[All]" allUniqueName="[Dim_Period].[Fiscal Year].[All]" dimensionUniqueName="[Dim_Period]" displayFolder="" count="0" memberValueDatatype="130" unbalanced="0"/>
    <cacheHierarchy uniqueName="[Dim_Period].[Period Sort]" caption="Period Sort" attribute="1" defaultMemberUniqueName="[Dim_Period].[Period Sort].[All]" allUniqueName="[Dim_Period].[Period Sort].[All]" dimensionUniqueName="[Dim_Period]" displayFolder="" count="0" memberValueDatatype="130" unbalanced="0"/>
    <cacheHierarchy uniqueName="[Merge1].[Statement]" caption="Statement" attribute="1" defaultMemberUniqueName="[Merge1].[Statement].[All]" allUniqueName="[Merge1].[Statement].[All]" dimensionUniqueName="[Merge1]" displayFolder="" count="0" memberValueDatatype="130" unbalanced="0"/>
    <cacheHierarchy uniqueName="[Merge1].[Financial Statement Line]" caption="Financial Statement Line" attribute="1" defaultMemberUniqueName="[Merge1].[Financial Statement Line].[All]" allUniqueName="[Merge1].[Financial Statement Line].[All]" dimensionUniqueName="[Merge1]" displayFolder="" count="0" memberValueDatatype="130" unbalanced="0"/>
    <cacheHierarchy uniqueName="[Merge1].[Period]" caption="Period" attribute="1" defaultMemberUniqueName="[Merge1].[Period].[All]" allUniqueName="[Merge1].[Period].[All]" dimensionUniqueName="[Merge1]" displayFolder="" count="0" memberValueDatatype="130" unbalanced="0"/>
    <cacheHierarchy uniqueName="[Merge1].[Value]" caption="Value" attribute="1" defaultMemberUniqueName="[Merge1].[Value].[All]" allUniqueName="[Merge1].[Value].[All]" dimensionUniqueName="[Merge1]" displayFolder="" count="0" memberValueDatatype="5" unbalanced="0"/>
    <cacheHierarchy uniqueName="[Merge1].[Concept ID]" caption="Concept ID" attribute="1" defaultMemberUniqueName="[Merge1].[Concept ID].[All]" allUniqueName="[Merge1].[Concept ID].[All]" dimensionUniqueName="[Merge1]" displayFolder="" count="0" memberValueDatatype="20" unbalanced="0"/>
    <cacheHierarchy uniqueName="[PQ_Fact_Financials].[Statement]" caption="Statement" attribute="1" defaultMemberUniqueName="[PQ_Fact_Financials].[Statement].[All]" allUniqueName="[PQ_Fact_Financials].[Statement].[All]" dimensionUniqueName="[PQ_Fact_Financials]" displayFolder="" count="0" memberValueDatatype="130" unbalanced="0"/>
    <cacheHierarchy uniqueName="[PQ_Fact_Financials].[Financial Statement Line]" caption="Financial Statement Line" attribute="1" defaultMemberUniqueName="[PQ_Fact_Financials].[Financial Statement Line].[All]" allUniqueName="[PQ_Fact_Financials].[Financial Statement Line].[All]" dimensionUniqueName="[PQ_Fact_Financials]" displayFolder="" count="0" memberValueDatatype="130" unbalanced="0"/>
    <cacheHierarchy uniqueName="[PQ_Fact_Financials].[Period]" caption="Period" attribute="1" defaultMemberUniqueName="[PQ_Fact_Financials].[Period].[All]" allUniqueName="[PQ_Fact_Financials].[Period].[All]" dimensionUniqueName="[PQ_Fact_Financials]" displayFolder="" count="0" memberValueDatatype="130" unbalanced="0"/>
    <cacheHierarchy uniqueName="[PQ_Fact_Financials].[Value]" caption="Value" attribute="1" defaultMemberUniqueName="[PQ_Fact_Financials].[Value].[All]" allUniqueName="[PQ_Fact_Financials].[Value].[All]" dimensionUniqueName="[PQ_Fact_Financials]" displayFolder="" count="0" memberValueDatatype="5" unbalanced="0"/>
    <cacheHierarchy uniqueName="[Measures].[Total Financial Value]" caption="Total Financial Value" measure="1" displayFolder="" measureGroup="Merge1" count="0"/>
    <cacheHierarchy uniqueName="[Measures].[Revenue]" caption="Revenue" measure="1" displayFolder="" measureGroup="Merge1" count="0"/>
    <cacheHierarchy uniqueName="[Measures].[Operating Profit]" caption="Operating Profit" measure="1" displayFolder="" measureGroup="Merge1" count="0"/>
    <cacheHierarchy uniqueName="[Measures].[Gross Profit]" caption="Gross Profit" measure="1" displayFolder="" measureGroup="Merge1" count="0"/>
    <cacheHierarchy uniqueName="[Measures].[Operating Margin]" caption="Operating Margin" measure="1" displayFolder="" measureGroup="Merge1" count="0"/>
    <cacheHierarchy uniqueName="[Measures].[FY2025 Revenue]" caption="FY2025 Revenue" measure="1" displayFolder="" measureGroup="Merge1" count="0"/>
    <cacheHierarchy uniqueName="[Measures].[FY2024 Revenue]" caption="FY2024 Revenue" measure="1" displayFolder="" measureGroup="Merge1" count="0"/>
    <cacheHierarchy uniqueName="[Measures].[Revenue Growth]" caption="Revenue Growth" measure="1" displayFolder="" measureGroup="Merge1" count="0"/>
    <cacheHierarchy uniqueName="[Measures].[Operating Profit Growth]" caption="Operating Profit Growth" measure="1" displayFolder="" measureGroup="Merge1" count="0" oneField="1">
      <fieldsUsage count="1">
        <fieldUsage x="0"/>
      </fieldsUsage>
    </cacheHierarchy>
    <cacheHierarchy uniqueName="[Measures].[__XL_Count PQ_Fact_Financials]" caption="__XL_Count PQ_Fact_Financials" measure="1" displayFolder="" measureGroup="PQ_Fact_Financials" count="0" hidden="1"/>
    <cacheHierarchy uniqueName="[Measures].[__XL_Count Dim_Period]" caption="__XL_Count Dim_Period" measure="1" displayFolder="" measureGroup="Dim_Period" count="0" hidden="1"/>
    <cacheHierarchy uniqueName="[Measures].[__XL_Count Dim_Concept]" caption="__XL_Count Dim_Concept" measure="1" displayFolder="" measureGroup="Dim_Concept"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5">
    <dimension name="Dim_Concept" uniqueName="[Dim_Concept]" caption="Dim_Concept"/>
    <dimension name="Dim_Period" uniqueName="[Dim_Period]" caption="Dim_Period"/>
    <dimension measure="1" name="Measures" uniqueName="[Measures]" caption="Measures"/>
    <dimension name="Merge1" uniqueName="[Merge1]" caption="Merge1"/>
    <dimension name="PQ_Fact_Financials" uniqueName="[PQ_Fact_Financials]" caption="PQ_Fact_Financials"/>
  </dimensions>
  <measureGroups count="4">
    <measureGroup name="Dim_Concept" caption="Dim_Concept"/>
    <measureGroup name="Dim_Period" caption="Dim_Period"/>
    <measureGroup name="Merge1" caption="Merge1"/>
    <measureGroup name="PQ_Fact_Financials" caption="PQ_Fact_Financials"/>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577C40-263F-41B1-8CC9-383943D4A67A}" name="PivotTable3" cacheId="418" applyNumberFormats="0" applyBorderFormats="0" applyFontFormats="0" applyPatternFormats="0" applyAlignmentFormats="0" applyWidthHeightFormats="1" dataCaption="Values" tag="4d82b431-1e79-49af-b2f9-dc32f2c9ab81" updatedVersion="8" minRefreshableVersion="3" useAutoFormatting="1" itemPrintTitles="1" createdVersion="8" indent="0" outline="1" outlineData="1" multipleFieldFilters="0">
  <location ref="G7:G8"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7">
    <format dxfId="16">
      <pivotArea type="all" dataOnly="0" outline="0" fieldPosition="0"/>
    </format>
    <format dxfId="15">
      <pivotArea outline="0" collapsedLevelsAreSubtotals="1"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dataOnly="0" labelOnly="1" outline="0" axis="axisValues" fieldPosition="0"/>
    </format>
    <format dxfId="10">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A6916A-EFDA-4FA3-A6A2-B2EE8EC0610F}" name="PivotTable2" cacheId="416" applyNumberFormats="0" applyBorderFormats="0" applyFontFormats="0" applyPatternFormats="0" applyAlignmentFormats="0" applyWidthHeightFormats="1" dataCaption="Values" tag="a27aaa04-516a-4460-86be-60085bb8b626" updatedVersion="8" minRefreshableVersion="3" useAutoFormatting="1" itemPrintTitles="1" createdVersion="8"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FY2025 REVENUE GROWTH" fld="0" subtotal="count" baseField="0" baseItem="0"/>
  </dataFields>
  <formats count="7">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FY2025 REVENUE GROWTH"/>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C6F294-867F-46B0-A1C0-3EE5E71D08C8}" name="PivotTable1" cacheId="417" applyNumberFormats="0" applyBorderFormats="0" applyFontFormats="0" applyPatternFormats="0" applyAlignmentFormats="0" applyWidthHeightFormats="1" dataCaption="Values" tag="112c1d86-579c-4784-9e1e-e8a8bf13b849" updatedVersion="8" minRefreshableVersion="3" useAutoFormatting="1" rowGrandTotals="0" colGrandTotals="0" itemPrintTitles="1" createdVersion="8" indent="0" outline="1" outlineData="1" multipleFieldFilters="0">
  <location ref="A3:D5"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2">
    <i>
      <x/>
    </i>
    <i>
      <x v="1"/>
    </i>
  </rowItems>
  <colFields count="1">
    <field x="-2"/>
  </colFields>
  <colItems count="3">
    <i>
      <x/>
    </i>
    <i i="1">
      <x v="1"/>
    </i>
    <i i="2">
      <x v="2"/>
    </i>
  </colItems>
  <dataFields count="3">
    <dataField fld="1" subtotal="count" baseField="0" baseItem="0"/>
    <dataField fld="2" subtotal="count" baseField="0" baseItem="0"/>
    <dataField fld="3" subtotal="count" baseField="0" baseItem="0" numFmtId="164"/>
  </dataFields>
  <formats count="12">
    <format dxfId="35">
      <pivotArea outline="0" collapsedLevelsAreSubtotals="1" fieldPosition="0">
        <references count="1">
          <reference field="4294967294" count="1" selected="0">
            <x v="2"/>
          </reference>
        </references>
      </pivotArea>
    </format>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outline="0" fieldPosition="0">
        <references count="1">
          <reference field="4294967294" count="3">
            <x v="0"/>
            <x v="1"/>
            <x v="2"/>
          </reference>
        </references>
      </pivotArea>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outline="0" fieldPosition="0">
        <references count="1">
          <reference field="4294967294" count="3">
            <x v="0"/>
            <x v="1"/>
            <x v="2"/>
          </reference>
        </references>
      </pivotArea>
    </format>
    <format dxfId="24">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eriod]"/>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FE5BA89-86F7-4F23-9AF9-A3EAECD56A4A}" autoFormatId="16" applyNumberFormats="0" applyBorderFormats="0" applyFontFormats="0" applyPatternFormats="0" applyAlignmentFormats="0" applyWidthHeightFormats="0">
  <queryTableRefresh nextId="7">
    <queryTableFields count="6">
      <queryTableField id="1" name="Filing Date" tableColumnId="1"/>
      <queryTableField id="2" name="Description" tableColumnId="2"/>
      <queryTableField id="3" name="Type" tableColumnId="3"/>
      <queryTableField id="4" name="Transaction ID" tableColumnId="4"/>
      <queryTableField id="5" name="Pages" tableColumnId="5"/>
      <queryTableField id="6" name="Document Metadata URL"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DABEDBC9-A4B5-4B8F-99CD-8EF267E5C281}" autoFormatId="16" applyNumberFormats="0" applyBorderFormats="0" applyFontFormats="0" applyPatternFormats="0" applyAlignmentFormats="0" applyWidthHeightFormats="0">
  <queryTableRefresh nextId="13">
    <queryTableFields count="12">
      <queryTableField id="1" name="Filing Date" tableColumnId="1"/>
      <queryTableField id="2" name="Description" tableColumnId="2"/>
      <queryTableField id="3" name="Type" tableColumnId="3"/>
      <queryTableField id="4" name="Transaction ID" tableColumnId="4"/>
      <queryTableField id="5" name="Pages" tableColumnId="5"/>
      <queryTableField id="6" name="Document Metadata URL" tableColumnId="6"/>
      <queryTableField id="7" name="Document ID" tableColumnId="7"/>
      <queryTableField id="8" name="Available Content Types" tableColumnId="8"/>
      <queryTableField id="9" name="PDF Available" tableColumnId="9"/>
      <queryTableField id="10" name="XHTML Available" tableColumnId="10"/>
      <queryTableField id="11" name="XML Available" tableColumnId="11"/>
      <queryTableField id="12" name="JSON Availabl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9" xr16:uid="{66B60275-7A5C-4584-9329-F0D3C558DBE8}" autoFormatId="16" applyNumberFormats="0" applyBorderFormats="0" applyFontFormats="0" applyPatternFormats="0" applyAlignmentFormats="0" applyWidthHeightFormats="0">
  <queryTableRefresh nextId="4">
    <queryTableFields count="3">
      <queryTableField id="1" name="Financial Statement Line" tableColumnId="1"/>
      <queryTableField id="2" name="FY2025" tableColumnId="2"/>
      <queryTableField id="3" name="FY2024"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6" xr16:uid="{7E0897AF-965A-4BA1-8116-A38940F2CB86}" autoFormatId="16" applyNumberFormats="0" applyBorderFormats="0" applyFontFormats="0" applyPatternFormats="0" applyAlignmentFormats="0" applyWidthHeightFormats="0">
  <queryTableRefresh nextId="4">
    <queryTableFields count="3">
      <queryTableField id="1" name="Financial Statement Line" tableColumnId="1"/>
      <queryTableField id="2" name="FY2025" tableColumnId="2"/>
      <queryTableField id="3" name="FY2024"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7" xr16:uid="{241C507F-3BFD-4C1B-AD4D-A46022EBF461}" autoFormatId="16" applyNumberFormats="0" applyBorderFormats="0" applyFontFormats="0" applyPatternFormats="0" applyAlignmentFormats="0" applyWidthHeightFormats="0">
  <queryTableRefresh nextId="4">
    <queryTableFields count="3">
      <queryTableField id="1" name="Financial Statement Line" tableColumnId="1"/>
      <queryTableField id="2" name="FY2025" tableColumnId="2"/>
      <queryTableField id="3" name="FY2024" tableColumnId="3"/>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7">
  <a r="1">
    <v t="i">0</v>
  </a>
  <a r="1">
    <v>189.73</v>
  </a>
  <a r="1">
    <v>373.73</v>
  </a>
  <a r="1">
    <v>345</v>
  </a>
  <a r="1">
    <v>1844</v>
  </a>
  <a r="1">
    <v>363.9</v>
  </a>
  <a r="1">
    <v>1444.6</v>
  </a>
</arrayData>
</file>

<file path=xl/richData/rdrichvalue.xml><?xml version="1.0" encoding="utf-8"?>
<rvData xmlns="http://schemas.microsoft.com/office/spreadsheetml/2017/richdata" count="12">
  <rv s="0">
    <fb>373.73</fb>
    <v>0</v>
  </rv>
  <rv s="0">
    <fb>345</fb>
    <v>1</v>
  </rv>
  <rv s="0">
    <fb>189.73</fb>
    <v>0</v>
  </rv>
  <rv s="0">
    <fb>363.9</fb>
    <v>1</v>
  </rv>
  <rv s="0">
    <fb>1844</fb>
    <v>2</v>
  </rv>
  <rv s="0">
    <fb>1444.6</fb>
    <v>2</v>
  </rv>
  <rv s="1">
    <v>3</v>
    <v>XNYS:RTX</v>
    <v>Daily</v>
    <v>46203</v>
    <v>46203</v>
    <v>0</v>
    <v>1</v>
    <v>639183744000000000,639222139178857464,0</v>
    <v>0</v>
    <v>a25552</v>
    <v>XNYS:RTX</v>
    <v>1</v>
  </rv>
  <rv s="1">
    <v>3</v>
    <v>GE</v>
    <v>Daily</v>
    <v>46203</v>
    <v>46203</v>
    <v>0</v>
    <v>1</v>
    <v>639183744000000000,639222136852812582,0</v>
    <v>0</v>
    <v>a1tr1h</v>
    <v>XNYS:GE</v>
    <v>2</v>
  </rv>
  <rv s="1">
    <v>4</v>
    <v>XPAR:SAF</v>
    <v>Daily</v>
    <v>46203</v>
    <v>46203</v>
    <v>0</v>
    <v>1</v>
    <v>639183744000000000,639222138909511807,0</v>
    <v>0</v>
    <v>ae9y1h</v>
    <v>XPAR:SAF</v>
    <v>3</v>
  </rv>
  <rv s="1">
    <v>5</v>
    <v>XLON:BA.</v>
    <v>Daily</v>
    <v>46203</v>
    <v>46203</v>
    <v>0</v>
    <v>1</v>
    <v>639183744000000000,639222139375906747,0</v>
    <v>0</v>
    <v>ao69im</v>
    <v>XLON:BA.</v>
    <v>4</v>
  </rv>
  <rv s="1">
    <v>4</v>
    <v>XETR:MTX</v>
    <v>Daily</v>
    <v>46203</v>
    <v>46203</v>
    <v>0</v>
    <v>1</v>
    <v>639183744000000000,639222139333816729,0</v>
    <v>0</v>
    <v>aft452</v>
    <v>XETR:MTX</v>
    <v>5</v>
  </rv>
  <rv s="1">
    <v>5</v>
    <v>XLON:RR.</v>
    <v>Daily</v>
    <v>46203</v>
    <v>46203</v>
    <v>0</v>
    <v>1</v>
    <v>639183744000000000,639222140940896605,0</v>
    <v>0</v>
    <v>aoczu2</v>
    <v>XLON:RR.</v>
    <v>6</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6">
    <spb s="0">
      <v>1</v>
    </spb>
    <spb s="0">
      <v>2</v>
    </spb>
    <spb s="0">
      <v>3</v>
    </spb>
    <spb s="1">
      <v>4</v>
      <v>1</v>
    </spb>
    <spb s="1">
      <v>4</v>
      <v>2</v>
    </spb>
    <spb s="1">
      <v>4</v>
      <v>3</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19" formatCode="dd/mm/yyyy"/>
    </x:dxf>
    <x:dxf>
      <x:numFmt numFmtId="0" formatCode="General"/>
    </x:dxf>
    <x:dxf>
      <x:numFmt numFmtId="35" formatCode="_-* #,##0.00_-;\-* #,##0.00_-;_-* &quot;-&quot;??_-;_-@_-"/>
    </x:dxf>
  </dxfs>
  <richProperties>
    <rPr n="NumberFormat" t="s"/>
  </richProperties>
  <richStyles>
    <rSty dxfid="1">
      <rpv i="0">_([$$-en-US]* #,##0.00_);_([$$-en-US]* (#,##0.00);_([$$-en-US]* "-"??_);_(@_)</rpv>
    </rSty>
    <rSty dxfid="1">
      <rpv i="0">_([$€-x-euro2] * #,##0.00_);_([$€-x-euro2] * (#,##0.00);_([$€-x-euro2] * "-"??_);_(@_)</rpv>
    </rSty>
    <rSty dxfid="2">
      <rpv i="0">_(* #,##0.00_);_(* (#,##0.00);_(* "-"??_);_(@_)</rpv>
    </rSty>
    <rSty dxfid="0"/>
  </richStyles>
</richStyleSheet>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52C0CA-0C88-4523-B9DC-940E58135F7A}" name="CH_Accounts_Filing_History" displayName="CH_Accounts_Filing_History" ref="A1:F20" tableType="queryTable" totalsRowShown="0">
  <autoFilter ref="A1:F20" xr:uid="{0D52C0CA-0C88-4523-B9DC-940E58135F7A}"/>
  <tableColumns count="6">
    <tableColumn id="1" xr3:uid="{65D09B8F-1218-4BBA-832D-6B0F4E58C10D}" uniqueName="1" name="Filing Date" queryTableFieldId="1" dataDxfId="9"/>
    <tableColumn id="2" xr3:uid="{2820AAA2-0AAE-4D47-AC92-7AE42E313BDA}" uniqueName="2" name="Description" queryTableFieldId="2"/>
    <tableColumn id="3" xr3:uid="{DE52C531-F7B0-44D1-8725-5EFE4F0F2A23}" uniqueName="3" name="Type" queryTableFieldId="3"/>
    <tableColumn id="4" xr3:uid="{E7652B63-FAC2-462A-8C90-C44A07D836B8}" uniqueName="4" name="Transaction ID" queryTableFieldId="4"/>
    <tableColumn id="5" xr3:uid="{9D2C8962-EED5-4003-8196-66C39E7307D2}" uniqueName="5" name="Pages" queryTableFieldId="5"/>
    <tableColumn id="6" xr3:uid="{A07C794A-698D-47DA-A0DF-0EC68BBF418E}" uniqueName="6" name="Document Metadata URL" queryTableField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4DC996-2BB7-4C32-A6CC-F580412E563B}" name="CH_Accounts_Document_Metadata" displayName="CH_Accounts_Document_Metadata" ref="H1:S20" tableType="queryTable" totalsRowShown="0">
  <autoFilter ref="H1:S20" xr:uid="{D14DC996-2BB7-4C32-A6CC-F580412E563B}"/>
  <tableColumns count="12">
    <tableColumn id="1" xr3:uid="{78C010F1-8A6D-4D3E-8504-0A6AE0F55616}" uniqueName="1" name="Filing Date" queryTableFieldId="1" dataDxfId="8"/>
    <tableColumn id="2" xr3:uid="{791B318F-4101-4BDF-A9B8-79470E9BDB70}" uniqueName="2" name="Description" queryTableFieldId="2"/>
    <tableColumn id="3" xr3:uid="{EA435233-B315-452F-AEEE-65DD987092D9}" uniqueName="3" name="Type" queryTableFieldId="3"/>
    <tableColumn id="4" xr3:uid="{CF64C8BC-3B5C-4A5F-ADCB-F046DE469C47}" uniqueName="4" name="Transaction ID" queryTableFieldId="4"/>
    <tableColumn id="5" xr3:uid="{361165E0-6A5A-4451-BAEB-C8C1AE24193D}" uniqueName="5" name="Pages" queryTableFieldId="5"/>
    <tableColumn id="6" xr3:uid="{863A87D8-98DE-4E8E-AF52-6867D897F6AD}" uniqueName="6" name="Document Metadata URL" queryTableFieldId="6"/>
    <tableColumn id="7" xr3:uid="{02C6D6D4-9DA3-42A7-B266-55A5DB940ECE}" uniqueName="7" name="Document ID" queryTableFieldId="7" dataDxfId="7"/>
    <tableColumn id="8" xr3:uid="{CE63B65C-54BA-4D41-AB51-3FFA53D50EC9}" uniqueName="8" name="Available Content Types" queryTableFieldId="8" dataDxfId="6"/>
    <tableColumn id="9" xr3:uid="{3160746D-ED41-487C-BC07-628353C00C35}" uniqueName="9" name="PDF Available" queryTableFieldId="9"/>
    <tableColumn id="10" xr3:uid="{BFA2C6F5-DD4F-4A04-8099-535F84668411}" uniqueName="10" name="XHTML Available" queryTableFieldId="10"/>
    <tableColumn id="11" xr3:uid="{2B6305DD-0D9B-4FC9-AE6F-BD1AB9DAFBC2}" uniqueName="11" name="XML Available" queryTableFieldId="11"/>
    <tableColumn id="12" xr3:uid="{ED38E990-5E7C-4F50-9BA5-490F313DB65F}" uniqueName="12" name="JSON Available" queryTableField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AE8171-3680-4A67-AD48-7EDA14EA43C9}" name="PQ_Income_Statement" displayName="PQ_Income_Statement" ref="U1:W25" tableType="queryTable" totalsRowShown="0">
  <autoFilter ref="U1:W25" xr:uid="{06AE8171-3680-4A67-AD48-7EDA14EA43C9}"/>
  <tableColumns count="3">
    <tableColumn id="1" xr3:uid="{03140FC9-CF8B-462D-B59F-CFCD1BBFC1CB}" uniqueName="1" name="Financial Statement Line" queryTableFieldId="1" dataDxfId="5"/>
    <tableColumn id="2" xr3:uid="{C28CD873-99F0-49E3-BCB1-93479A3F7245}" uniqueName="2" name="FY2025" queryTableFieldId="2"/>
    <tableColumn id="3" xr3:uid="{CF86960F-3695-4B60-9555-FE55D9B06773}" uniqueName="3" name="FY2024" queryTableField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DC79FA-1CA8-4650-8A32-983684E0125E}" name="PQ_Balance_Sheet" displayName="PQ_Balance_Sheet" ref="Y1:AA49" tableType="queryTable" totalsRowShown="0">
  <autoFilter ref="Y1:AA49" xr:uid="{FADC79FA-1CA8-4650-8A32-983684E0125E}"/>
  <tableColumns count="3">
    <tableColumn id="1" xr3:uid="{1161F78F-C731-436F-9ACF-02308950D365}" uniqueName="1" name="Financial Statement Line" queryTableFieldId="1" dataDxfId="4"/>
    <tableColumn id="2" xr3:uid="{72F29268-1714-4A05-AA88-DB7E234ABF8D}" uniqueName="2" name="FY2025" queryTableFieldId="2"/>
    <tableColumn id="3" xr3:uid="{D35AB915-FB0C-4F7F-AA11-04E42A5CC611}" uniqueName="3" name="FY2024" queryTableField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3DE3BC-7E6C-41B5-8009-E5AF3BC656C2}" name="PQ_Cash_Flow" displayName="PQ_Cash_Flow" ref="AC1:AE54" tableType="queryTable" totalsRowShown="0">
  <autoFilter ref="AC1:AE54" xr:uid="{113DE3BC-7E6C-41B5-8009-E5AF3BC656C2}"/>
  <tableColumns count="3">
    <tableColumn id="1" xr3:uid="{5698F28C-4F6D-4E10-AA58-308CF40B361C}" uniqueName="1" name="Financial Statement Line" queryTableFieldId="1" dataDxfId="3"/>
    <tableColumn id="2" xr3:uid="{38122F5E-B25F-4993-820F-60A95A8C1E84}" uniqueName="2" name="FY2025" queryTableFieldId="2"/>
    <tableColumn id="3" xr3:uid="{B9397360-19B2-4D17-B25A-F99F9C9CD839}" uniqueName="3" name="FY2024" queryTableField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53730-BFF3-4799-97D4-950A91A23B79}">
  <dimension ref="A1"/>
  <sheetViews>
    <sheetView showGridLines="0" workbookViewId="0">
      <selection activeCell="T15" sqref="T15"/>
    </sheetView>
  </sheetViews>
  <sheetFormatPr defaultRowHeight="14.4" x14ac:dyDescent="0.3"/>
  <cols>
    <col min="1" max="1" width="110.77734375" customWidth="1"/>
  </cols>
  <sheetData>
    <row r="1" spans="1:1" x14ac:dyDescent="0.3">
      <c r="A1" s="9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7D0A9-9161-42B1-A60B-EAEC3B546AA9}">
  <sheetPr>
    <tabColor theme="3" tint="9.9978637043366805E-2"/>
  </sheetPr>
  <dimension ref="A1:T29"/>
  <sheetViews>
    <sheetView showGridLines="0" workbookViewId="0">
      <selection activeCell="I4" sqref="I4:K4"/>
    </sheetView>
  </sheetViews>
  <sheetFormatPr defaultRowHeight="14.4" x14ac:dyDescent="0.3"/>
  <cols>
    <col min="1" max="1" width="24.77734375" customWidth="1"/>
    <col min="2" max="14" width="12.77734375" customWidth="1"/>
    <col min="16" max="16" width="0" hidden="1" customWidth="1"/>
    <col min="17" max="17" width="8.88671875" hidden="1" customWidth="1"/>
    <col min="19" max="20" width="0" hidden="1" customWidth="1"/>
  </cols>
  <sheetData>
    <row r="1" spans="1:20" ht="21" x14ac:dyDescent="0.3">
      <c r="A1" s="118" t="s">
        <v>647</v>
      </c>
      <c r="B1" s="119"/>
      <c r="C1" s="119"/>
      <c r="D1" s="119"/>
      <c r="E1" s="119"/>
      <c r="F1" s="119"/>
      <c r="G1" s="119"/>
      <c r="H1" s="119"/>
      <c r="I1" s="119"/>
      <c r="J1" s="119"/>
      <c r="K1" s="119"/>
      <c r="L1" s="119"/>
      <c r="M1" s="119"/>
      <c r="N1" s="119"/>
      <c r="O1" s="8"/>
      <c r="P1" s="8"/>
      <c r="Q1" s="8"/>
      <c r="R1" s="8"/>
      <c r="S1" s="8"/>
      <c r="T1" s="8"/>
    </row>
    <row r="2" spans="1:20" x14ac:dyDescent="0.3">
      <c r="A2" s="120" t="s">
        <v>648</v>
      </c>
      <c r="B2" s="121"/>
      <c r="C2" s="121"/>
      <c r="D2" s="121"/>
      <c r="E2" s="121"/>
      <c r="F2" s="121"/>
      <c r="G2" s="121"/>
      <c r="H2" s="121"/>
      <c r="I2" s="121"/>
      <c r="J2" s="121"/>
      <c r="K2" s="121"/>
      <c r="L2" s="121"/>
      <c r="M2" s="121"/>
      <c r="N2" s="121"/>
      <c r="O2" s="8"/>
      <c r="P2" s="6" t="s">
        <v>672</v>
      </c>
      <c r="Q2" s="6" t="s">
        <v>657</v>
      </c>
      <c r="R2" s="8"/>
      <c r="S2" s="8"/>
      <c r="T2" s="8"/>
    </row>
    <row r="3" spans="1:20" x14ac:dyDescent="0.3">
      <c r="A3" s="8"/>
      <c r="B3" s="8"/>
      <c r="C3" s="8"/>
      <c r="D3" s="8"/>
      <c r="E3" s="8"/>
      <c r="F3" s="8"/>
      <c r="G3" s="8"/>
      <c r="H3" s="8"/>
      <c r="I3" s="8"/>
      <c r="J3" s="8"/>
      <c r="K3" s="8"/>
      <c r="L3" s="8"/>
      <c r="M3" s="8"/>
      <c r="N3" s="8"/>
      <c r="O3" s="8"/>
      <c r="P3" s="6" t="s">
        <v>298</v>
      </c>
      <c r="Q3" s="110">
        <f>Sensitivity!B79</f>
        <v>6.5707899162121119</v>
      </c>
      <c r="R3" s="8"/>
      <c r="S3" s="8"/>
      <c r="T3" s="8"/>
    </row>
    <row r="4" spans="1:20" x14ac:dyDescent="0.3">
      <c r="A4" s="114" t="s">
        <v>649</v>
      </c>
      <c r="B4" s="115"/>
      <c r="C4" s="115"/>
      <c r="D4" s="8"/>
      <c r="E4" s="114" t="s">
        <v>650</v>
      </c>
      <c r="F4" s="115"/>
      <c r="G4" s="115"/>
      <c r="H4" s="8"/>
      <c r="I4" s="114" t="s">
        <v>651</v>
      </c>
      <c r="J4" s="115"/>
      <c r="K4" s="115"/>
      <c r="L4" s="8"/>
      <c r="M4" s="114" t="s">
        <v>652</v>
      </c>
      <c r="N4" s="115"/>
      <c r="O4" s="8"/>
      <c r="P4" s="6" t="s">
        <v>299</v>
      </c>
      <c r="Q4" s="110">
        <f>Sensitivity!C79</f>
        <v>8.1953524819661148</v>
      </c>
      <c r="R4" s="8"/>
      <c r="S4" s="8"/>
      <c r="T4" s="8"/>
    </row>
    <row r="5" spans="1:20" x14ac:dyDescent="0.3">
      <c r="A5" s="122">
        <f>DCF!$B$65</f>
        <v>14.45</v>
      </c>
      <c r="B5" s="123"/>
      <c r="C5" s="123"/>
      <c r="D5" s="8"/>
      <c r="E5" s="122">
        <f>DCF!$B$64</f>
        <v>8.1953524819661183</v>
      </c>
      <c r="F5" s="123"/>
      <c r="G5" s="123"/>
      <c r="H5" s="8"/>
      <c r="I5" s="122">
        <f ca="1">Comparable_Companies!$B$39</f>
        <v>9.2730322957909586</v>
      </c>
      <c r="J5" s="123"/>
      <c r="K5" s="123"/>
      <c r="L5" s="8"/>
      <c r="M5" s="124">
        <f>DCF!$B$66</f>
        <v>-0.43284757910269078</v>
      </c>
      <c r="N5" s="125"/>
      <c r="O5" s="8"/>
      <c r="P5" s="6" t="s">
        <v>300</v>
      </c>
      <c r="Q5" s="110">
        <f>Sensitivity!D79</f>
        <v>10.431344333004859</v>
      </c>
      <c r="R5" s="8"/>
      <c r="S5" s="8"/>
      <c r="T5" s="8"/>
    </row>
    <row r="6" spans="1:20" x14ac:dyDescent="0.3">
      <c r="A6" s="123"/>
      <c r="B6" s="123"/>
      <c r="C6" s="123"/>
      <c r="D6" s="8"/>
      <c r="E6" s="123"/>
      <c r="F6" s="123"/>
      <c r="G6" s="123"/>
      <c r="H6" s="8"/>
      <c r="I6" s="123"/>
      <c r="J6" s="123"/>
      <c r="K6" s="123"/>
      <c r="L6" s="8"/>
      <c r="M6" s="125"/>
      <c r="N6" s="125"/>
      <c r="O6" s="8"/>
      <c r="P6" s="6" t="s">
        <v>673</v>
      </c>
      <c r="Q6" s="110">
        <f>DCF!B65</f>
        <v>14.45</v>
      </c>
      <c r="R6" s="8"/>
      <c r="S6" s="8"/>
      <c r="T6" s="8"/>
    </row>
    <row r="7" spans="1:20" x14ac:dyDescent="0.3">
      <c r="A7" s="8"/>
      <c r="B7" s="8"/>
      <c r="C7" s="8"/>
      <c r="D7" s="8"/>
      <c r="E7" s="8"/>
      <c r="F7" s="8"/>
      <c r="G7" s="8"/>
      <c r="H7" s="8"/>
      <c r="I7" s="8"/>
      <c r="J7" s="8"/>
      <c r="K7" s="8"/>
      <c r="L7" s="8"/>
      <c r="M7" s="8"/>
      <c r="N7" s="8"/>
      <c r="O7" s="8"/>
      <c r="P7" s="8"/>
      <c r="Q7" s="8"/>
      <c r="R7" s="8"/>
      <c r="S7" s="8"/>
      <c r="T7" s="8"/>
    </row>
    <row r="8" spans="1:20" x14ac:dyDescent="0.3">
      <c r="A8" s="114" t="s">
        <v>671</v>
      </c>
      <c r="B8" s="115"/>
      <c r="C8" s="115"/>
      <c r="D8" s="115"/>
      <c r="E8" s="115"/>
      <c r="F8" s="115"/>
      <c r="G8" s="8"/>
      <c r="H8" s="114" t="s">
        <v>661</v>
      </c>
      <c r="I8" s="115"/>
      <c r="J8" s="115"/>
      <c r="K8" s="115"/>
      <c r="L8" s="115"/>
      <c r="M8" s="115"/>
      <c r="N8" s="115"/>
      <c r="O8" s="8"/>
      <c r="P8" s="8"/>
      <c r="Q8" s="8"/>
      <c r="R8" s="8"/>
      <c r="S8" s="8"/>
      <c r="T8" s="8"/>
    </row>
    <row r="9" spans="1:20" x14ac:dyDescent="0.3">
      <c r="A9" s="6" t="s">
        <v>236</v>
      </c>
      <c r="B9" s="9">
        <f>DCF!$B$26</f>
        <v>9.619399091951196E-2</v>
      </c>
      <c r="C9" s="8"/>
      <c r="D9" s="8"/>
      <c r="E9" s="8"/>
      <c r="F9" s="8"/>
      <c r="G9" s="8"/>
      <c r="H9" s="6" t="s">
        <v>662</v>
      </c>
      <c r="I9" s="6" t="s">
        <v>298</v>
      </c>
      <c r="J9" s="6" t="s">
        <v>299</v>
      </c>
      <c r="K9" s="6" t="s">
        <v>300</v>
      </c>
      <c r="L9" s="8"/>
      <c r="M9" s="8"/>
      <c r="N9" s="8"/>
      <c r="O9" s="8"/>
      <c r="P9" s="6" t="s">
        <v>674</v>
      </c>
      <c r="Q9" s="6" t="s">
        <v>638</v>
      </c>
      <c r="R9" s="8"/>
      <c r="S9" s="6" t="s">
        <v>674</v>
      </c>
      <c r="T9" s="6" t="s">
        <v>675</v>
      </c>
    </row>
    <row r="10" spans="1:20" x14ac:dyDescent="0.3">
      <c r="A10" s="6" t="s">
        <v>266</v>
      </c>
      <c r="B10" s="9">
        <f>DCF!$B$27</f>
        <v>2.5000000000000001E-2</v>
      </c>
      <c r="C10" s="8"/>
      <c r="D10" s="8"/>
      <c r="E10" s="8"/>
      <c r="F10" s="8"/>
      <c r="G10" s="8"/>
      <c r="H10" s="6" t="s">
        <v>657</v>
      </c>
      <c r="I10" s="11">
        <f>Sensitivity!B79</f>
        <v>6.5707899162121119</v>
      </c>
      <c r="J10" s="11">
        <f>Sensitivity!C79</f>
        <v>8.1953524819661148</v>
      </c>
      <c r="K10" s="11">
        <f>Sensitivity!D79</f>
        <v>10.431344333004859</v>
      </c>
      <c r="L10" s="8"/>
      <c r="M10" s="8"/>
      <c r="N10" s="8"/>
      <c r="O10" s="8"/>
      <c r="P10" s="12" t="str">
        <f>Ratio_Analysis!G3</f>
        <v>FY2021</v>
      </c>
      <c r="Q10" s="9">
        <f>Ratio_Analysis!G7</f>
        <v>3.7818580432995338E-2</v>
      </c>
      <c r="R10" s="8"/>
      <c r="S10" s="12" t="str">
        <f>Forecast_Model!C2</f>
        <v>FY2026E</v>
      </c>
      <c r="T10" s="10">
        <f>Forecast_Model!C28</f>
        <v>4006.9847132683567</v>
      </c>
    </row>
    <row r="11" spans="1:20" x14ac:dyDescent="0.3">
      <c r="A11" s="6" t="s">
        <v>653</v>
      </c>
      <c r="B11" s="10">
        <f>DCF!$B$61</f>
        <v>2136</v>
      </c>
      <c r="C11" s="8"/>
      <c r="D11" s="8"/>
      <c r="E11" s="8"/>
      <c r="F11" s="8"/>
      <c r="G11" s="8"/>
      <c r="H11" s="6" t="s">
        <v>276</v>
      </c>
      <c r="I11" s="9">
        <f>Sensitivity!B80</f>
        <v>-0.54527405424137632</v>
      </c>
      <c r="J11" s="9">
        <f>Sensitivity!C80</f>
        <v>-0.432847579102691</v>
      </c>
      <c r="K11" s="9">
        <f>Sensitivity!D80</f>
        <v>-0.27810765861558073</v>
      </c>
      <c r="L11" s="8"/>
      <c r="M11" s="8"/>
      <c r="N11" s="8"/>
      <c r="O11" s="8"/>
      <c r="P11" s="12" t="str">
        <f>Ratio_Analysis!H3</f>
        <v>FY2022</v>
      </c>
      <c r="Q11" s="9">
        <f>Ratio_Analysis!H7</f>
        <v>5.1374990150500358E-2</v>
      </c>
      <c r="R11" s="8"/>
      <c r="S11" s="10" t="str">
        <f>Forecast_Model!D2</f>
        <v>FY2027E</v>
      </c>
      <c r="T11" s="10">
        <f>Forecast_Model!D28</f>
        <v>4151.4340827210062</v>
      </c>
    </row>
    <row r="12" spans="1:20" x14ac:dyDescent="0.3">
      <c r="A12" s="6" t="s">
        <v>654</v>
      </c>
      <c r="B12" s="9">
        <f>DCF!$B$73</f>
        <v>0.74638419895789254</v>
      </c>
      <c r="C12" s="8"/>
      <c r="D12" s="8"/>
      <c r="E12" s="8"/>
      <c r="F12" s="8"/>
      <c r="G12" s="8"/>
      <c r="H12" s="8"/>
      <c r="I12" s="8"/>
      <c r="J12" s="8"/>
      <c r="K12" s="8"/>
      <c r="L12" s="8"/>
      <c r="M12" s="8"/>
      <c r="N12" s="8"/>
      <c r="O12" s="8"/>
      <c r="P12" s="10" t="str">
        <f>Ratio_Analysis!I$3</f>
        <v>FY2023</v>
      </c>
      <c r="Q12" s="9">
        <f>Ratio_Analysis!I7</f>
        <v>0.10318644947757803</v>
      </c>
      <c r="R12" s="8"/>
      <c r="S12" s="10" t="str">
        <f>Forecast_Model!E2</f>
        <v>FY2028E</v>
      </c>
      <c r="T12" s="10">
        <f>Forecast_Model!E28</f>
        <v>4557.8524882788888</v>
      </c>
    </row>
    <row r="13" spans="1:20" x14ac:dyDescent="0.3">
      <c r="A13" s="8"/>
      <c r="B13" s="8"/>
      <c r="C13" s="8"/>
      <c r="D13" s="8"/>
      <c r="E13" s="8"/>
      <c r="F13" s="8"/>
      <c r="G13" s="8"/>
      <c r="H13" s="8"/>
      <c r="I13" s="8"/>
      <c r="J13" s="8"/>
      <c r="K13" s="8"/>
      <c r="L13" s="8"/>
      <c r="M13" s="8"/>
      <c r="N13" s="8"/>
      <c r="O13" s="8"/>
      <c r="P13" s="10" t="str">
        <f>Ratio_Analysis!J$3</f>
        <v>FY2024</v>
      </c>
      <c r="Q13" s="9">
        <f>Ratio_Analysis!J7</f>
        <v>0.13805468399820708</v>
      </c>
      <c r="R13" s="8"/>
      <c r="S13" s="10" t="str">
        <f>Forecast_Model!F2</f>
        <v>FY2029E</v>
      </c>
      <c r="T13" s="10">
        <f>Forecast_Model!F28</f>
        <v>4915.612944694848</v>
      </c>
    </row>
    <row r="14" spans="1:20" x14ac:dyDescent="0.3">
      <c r="A14" s="8"/>
      <c r="B14" s="8"/>
      <c r="C14" s="8"/>
      <c r="D14" s="8"/>
      <c r="E14" s="8"/>
      <c r="F14" s="8"/>
      <c r="G14" s="8"/>
      <c r="H14" s="8"/>
      <c r="I14" s="8"/>
      <c r="J14" s="8"/>
      <c r="K14" s="8"/>
      <c r="L14" s="8"/>
      <c r="M14" s="8"/>
      <c r="N14" s="8"/>
      <c r="O14" s="8"/>
      <c r="P14" s="10" t="str">
        <f>Ratio_Analysis!K$3</f>
        <v>FY2025</v>
      </c>
      <c r="Q14" s="9">
        <f>Ratio_Analysis!K7</f>
        <v>0.1725908569719328</v>
      </c>
      <c r="R14" s="8"/>
      <c r="S14" s="10" t="str">
        <f>Forecast_Model!G2</f>
        <v>FY2030E</v>
      </c>
      <c r="T14" s="10">
        <f>Forecast_Model!G28</f>
        <v>5207.4201808193193</v>
      </c>
    </row>
    <row r="15" spans="1:20" x14ac:dyDescent="0.3">
      <c r="A15" s="114" t="s">
        <v>655</v>
      </c>
      <c r="B15" s="115"/>
      <c r="C15" s="115"/>
      <c r="D15" s="115"/>
      <c r="E15" s="115"/>
      <c r="F15" s="115"/>
      <c r="G15" s="8"/>
      <c r="H15" s="114" t="s">
        <v>663</v>
      </c>
      <c r="I15" s="115"/>
      <c r="J15" s="115"/>
      <c r="K15" s="115"/>
      <c r="L15" s="115"/>
      <c r="M15" s="115"/>
      <c r="N15" s="75"/>
      <c r="O15" s="8"/>
      <c r="P15" s="10" t="str">
        <f>Forecast_Model!C2</f>
        <v>FY2026E</v>
      </c>
      <c r="Q15" s="13">
        <f>Forecast_Model!C18</f>
        <v>0.20594275195263603</v>
      </c>
      <c r="R15" s="8"/>
      <c r="S15" s="8"/>
      <c r="T15" s="8"/>
    </row>
    <row r="16" spans="1:20" x14ac:dyDescent="0.3">
      <c r="A16" s="6" t="s">
        <v>656</v>
      </c>
      <c r="B16" s="6" t="s">
        <v>657</v>
      </c>
      <c r="C16" s="6" t="s">
        <v>276</v>
      </c>
      <c r="D16" s="8"/>
      <c r="E16" s="8"/>
      <c r="F16" s="8"/>
      <c r="G16" s="8"/>
      <c r="H16" s="8"/>
      <c r="I16" s="10" t="str">
        <f>Forecast_Model!B2</f>
        <v>FY2025A</v>
      </c>
      <c r="J16" s="10" t="str">
        <f>Forecast_Model!C2</f>
        <v>FY2026E</v>
      </c>
      <c r="K16" s="10" t="str">
        <f>Forecast_Model!D2</f>
        <v>FY2027E</v>
      </c>
      <c r="L16" s="10" t="str">
        <f>Forecast_Model!E2</f>
        <v>FY2028E</v>
      </c>
      <c r="M16" s="10" t="str">
        <f>Forecast_Model!F2</f>
        <v>FY2029E</v>
      </c>
      <c r="N16" s="10" t="str">
        <f>Forecast_Model!G2</f>
        <v>FY2030E</v>
      </c>
      <c r="O16" s="8"/>
      <c r="P16" s="10" t="str">
        <f>Forecast_Model!D2</f>
        <v>FY2027E</v>
      </c>
      <c r="Q16" s="13">
        <f>Forecast_Model!D18</f>
        <v>0.19063320495484964</v>
      </c>
      <c r="R16" s="8"/>
      <c r="S16" s="8"/>
      <c r="T16" s="8"/>
    </row>
    <row r="17" spans="1:20" x14ac:dyDescent="0.3">
      <c r="A17" s="6" t="s">
        <v>658</v>
      </c>
      <c r="B17" s="110">
        <f>DCF!$B$64</f>
        <v>8.1953524819661183</v>
      </c>
      <c r="C17" s="9">
        <f>DCF!$B$66</f>
        <v>-0.43284757910269078</v>
      </c>
      <c r="D17" s="8"/>
      <c r="E17" s="8"/>
      <c r="F17" s="8"/>
      <c r="G17" s="8"/>
      <c r="H17" s="6" t="s">
        <v>664</v>
      </c>
      <c r="I17" s="10">
        <f>Forecast_Model!B9</f>
        <v>20059</v>
      </c>
      <c r="J17" s="10">
        <f>Forecast_Model!C9</f>
        <v>23684.54683480948</v>
      </c>
      <c r="K17" s="10">
        <f>Forecast_Model!D9</f>
        <v>26325.010676225676</v>
      </c>
      <c r="L17" s="10">
        <f>Forecast_Model!E9</f>
        <v>28811.767378259858</v>
      </c>
      <c r="M17" s="10">
        <f>Forecast_Model!F9</f>
        <v>31037.626045854115</v>
      </c>
      <c r="N17" s="10">
        <f>Forecast_Model!G9</f>
        <v>32905.411996171002</v>
      </c>
      <c r="O17" s="8"/>
      <c r="P17" s="10" t="str">
        <f>Forecast_Model!E2</f>
        <v>FY2028E</v>
      </c>
      <c r="Q17" s="13">
        <f>Forecast_Model!E18</f>
        <v>0.19129306369780588</v>
      </c>
      <c r="R17" s="8"/>
      <c r="S17" s="8"/>
      <c r="T17" s="8"/>
    </row>
    <row r="18" spans="1:20" x14ac:dyDescent="0.3">
      <c r="A18" s="6" t="s">
        <v>659</v>
      </c>
      <c r="B18" s="110">
        <f ca="1">Comparable_Companies!$B$39</f>
        <v>9.2730322957909586</v>
      </c>
      <c r="C18" s="9">
        <f ca="1">Comparable_Companies!$B$40</f>
        <v>-0.35826766119093711</v>
      </c>
      <c r="D18" s="8"/>
      <c r="E18" s="8"/>
      <c r="F18" s="8"/>
      <c r="G18" s="8"/>
      <c r="H18" s="6" t="s">
        <v>665</v>
      </c>
      <c r="I18" s="10">
        <f>Forecast_Model!B17</f>
        <v>3462</v>
      </c>
      <c r="J18" s="10">
        <f>Forecast_Model!C17</f>
        <v>4877.6607539117595</v>
      </c>
      <c r="K18" s="10">
        <f>Forecast_Model!D17</f>
        <v>5018.4211556795344</v>
      </c>
      <c r="L18" s="10">
        <f>Forecast_Model!E17</f>
        <v>5511.4912523358289</v>
      </c>
      <c r="M18" s="10">
        <f>Forecast_Model!F17</f>
        <v>5944.8061494217818</v>
      </c>
      <c r="N18" s="10">
        <f>Forecast_Model!G17</f>
        <v>6297.2132618869255</v>
      </c>
      <c r="O18" s="8"/>
      <c r="P18" s="10" t="str">
        <f>Forecast_Model!F2</f>
        <v>FY2029E</v>
      </c>
      <c r="Q18" s="13">
        <f>Forecast_Model!F18</f>
        <v>0.1915354653941346</v>
      </c>
      <c r="R18" s="8"/>
      <c r="S18" s="8"/>
      <c r="T18" s="8"/>
    </row>
    <row r="19" spans="1:20" x14ac:dyDescent="0.3">
      <c r="A19" s="6" t="s">
        <v>660</v>
      </c>
      <c r="B19" s="110">
        <f>DCF!$B$65</f>
        <v>14.45</v>
      </c>
      <c r="C19" s="8"/>
      <c r="D19" s="8"/>
      <c r="E19" s="8"/>
      <c r="F19" s="8"/>
      <c r="G19" s="8"/>
      <c r="H19" s="6" t="s">
        <v>638</v>
      </c>
      <c r="I19" s="9">
        <f>Forecast_Model!B18</f>
        <v>0.1725908569719328</v>
      </c>
      <c r="J19" s="9">
        <f>Forecast_Model!C18</f>
        <v>0.20594275195263603</v>
      </c>
      <c r="K19" s="9">
        <f>Forecast_Model!D18</f>
        <v>0.19063320495484964</v>
      </c>
      <c r="L19" s="9">
        <f>Forecast_Model!E18</f>
        <v>0.19129306369780588</v>
      </c>
      <c r="M19" s="9">
        <f>Forecast_Model!F18</f>
        <v>0.1915354653941346</v>
      </c>
      <c r="N19" s="9">
        <f>Forecast_Model!G18</f>
        <v>0.19137317784137434</v>
      </c>
      <c r="O19" s="8"/>
      <c r="P19" s="10" t="str">
        <f>Forecast_Model!G2</f>
        <v>FY2030E</v>
      </c>
      <c r="Q19" s="13">
        <f>Forecast_Model!G18</f>
        <v>0.19137317784137434</v>
      </c>
      <c r="R19" s="8"/>
      <c r="S19" s="8"/>
      <c r="T19" s="8"/>
    </row>
    <row r="20" spans="1:20" x14ac:dyDescent="0.3">
      <c r="A20" s="8"/>
      <c r="B20" s="8"/>
      <c r="C20" s="8"/>
      <c r="D20" s="8"/>
      <c r="E20" s="8"/>
      <c r="F20" s="8"/>
      <c r="G20" s="8"/>
      <c r="H20" s="8"/>
      <c r="I20" s="8"/>
      <c r="J20" s="8"/>
      <c r="K20" s="8"/>
      <c r="L20" s="8"/>
      <c r="M20" s="8"/>
      <c r="N20" s="8"/>
      <c r="O20" s="8"/>
      <c r="P20" s="8"/>
      <c r="Q20" s="8"/>
      <c r="R20" s="8"/>
      <c r="S20" s="8"/>
      <c r="T20" s="8"/>
    </row>
    <row r="21" spans="1:20" x14ac:dyDescent="0.3">
      <c r="A21" s="8"/>
      <c r="B21" s="8"/>
      <c r="C21" s="8"/>
      <c r="D21" s="8"/>
      <c r="E21" s="8"/>
      <c r="F21" s="8"/>
      <c r="G21" s="8"/>
      <c r="H21" s="8"/>
      <c r="I21" s="8"/>
      <c r="J21" s="8"/>
      <c r="K21" s="8"/>
      <c r="L21" s="8"/>
      <c r="M21" s="8"/>
      <c r="N21" s="8"/>
      <c r="O21" s="8"/>
      <c r="P21" s="8"/>
      <c r="Q21" s="8"/>
      <c r="R21" s="8"/>
      <c r="S21" s="8"/>
      <c r="T21" s="8"/>
    </row>
    <row r="22" spans="1:20" x14ac:dyDescent="0.3">
      <c r="A22" s="114" t="s">
        <v>666</v>
      </c>
      <c r="B22" s="115"/>
      <c r="C22" s="115"/>
      <c r="D22" s="115"/>
      <c r="E22" s="115"/>
      <c r="F22" s="115"/>
      <c r="G22" s="75"/>
      <c r="H22" s="75"/>
      <c r="I22" s="75"/>
      <c r="J22" s="75"/>
      <c r="K22" s="75"/>
      <c r="L22" s="75"/>
      <c r="M22" s="75"/>
      <c r="N22" s="75"/>
      <c r="O22" s="8"/>
      <c r="P22" s="8"/>
      <c r="Q22" s="8"/>
      <c r="R22" s="8"/>
      <c r="S22" s="8"/>
      <c r="T22" s="8"/>
    </row>
    <row r="23" spans="1:20" x14ac:dyDescent="0.3">
      <c r="A23" s="8"/>
      <c r="B23" s="10" t="str">
        <f>Forecast_Model!B2</f>
        <v>FY2025A</v>
      </c>
      <c r="C23" s="10" t="str">
        <f>Forecast_Model!C2</f>
        <v>FY2026E</v>
      </c>
      <c r="D23" s="10" t="str">
        <f>Forecast_Model!D2</f>
        <v>FY2027E</v>
      </c>
      <c r="E23" s="10" t="str">
        <f>Forecast_Model!E2</f>
        <v>FY2028E</v>
      </c>
      <c r="F23" s="10" t="str">
        <f>Forecast_Model!F2</f>
        <v>FY2029E</v>
      </c>
      <c r="G23" s="10" t="str">
        <f>Forecast_Model!G2</f>
        <v>FY2030E</v>
      </c>
      <c r="H23" s="8"/>
      <c r="I23" s="116" t="s">
        <v>667</v>
      </c>
      <c r="J23" s="117"/>
      <c r="K23" s="117"/>
      <c r="L23" s="117"/>
      <c r="M23" s="117"/>
      <c r="N23" s="117"/>
      <c r="O23" s="8"/>
      <c r="P23" s="8"/>
      <c r="Q23" s="8"/>
      <c r="R23" s="8"/>
      <c r="S23" s="8"/>
      <c r="T23" s="8"/>
    </row>
    <row r="24" spans="1:20" x14ac:dyDescent="0.3">
      <c r="A24" s="6" t="s">
        <v>133</v>
      </c>
      <c r="B24" s="10">
        <f>Operating_Drivers!K5</f>
        <v>10382</v>
      </c>
      <c r="C24" s="10">
        <f>Operating_Drivers!L5</f>
        <v>12612.733628318583</v>
      </c>
      <c r="D24" s="10">
        <f>Operating_Drivers!M5</f>
        <v>14154.696682577625</v>
      </c>
      <c r="E24" s="10">
        <f>Operating_Drivers!N5</f>
        <v>15514.363028441046</v>
      </c>
      <c r="F24" s="10">
        <f>Operating_Drivers!O5</f>
        <v>16598.208105444657</v>
      </c>
      <c r="G24" s="10">
        <f>Operating_Drivers!P5</f>
        <v>17322.950509708135</v>
      </c>
      <c r="H24" s="8"/>
      <c r="I24" s="112" t="s">
        <v>668</v>
      </c>
      <c r="J24" s="113"/>
      <c r="K24" s="113"/>
      <c r="L24" s="113"/>
      <c r="M24" s="113"/>
      <c r="N24" s="113"/>
      <c r="O24" s="8"/>
      <c r="P24" s="8"/>
      <c r="Q24" s="8"/>
      <c r="R24" s="8"/>
      <c r="S24" s="8"/>
      <c r="T24" s="8"/>
    </row>
    <row r="25" spans="1:20" ht="14.4" customHeight="1" x14ac:dyDescent="0.3">
      <c r="A25" s="6" t="s">
        <v>111</v>
      </c>
      <c r="B25" s="10">
        <f>Operating_Drivers!K8</f>
        <v>4772</v>
      </c>
      <c r="C25" s="10">
        <f>Operating_Drivers!L8</f>
        <v>5255.6288387900104</v>
      </c>
      <c r="D25" s="10">
        <f>Operating_Drivers!M8</f>
        <v>5717.2943320168451</v>
      </c>
      <c r="E25" s="10">
        <f>Operating_Drivers!N8</f>
        <v>6222.3860096693934</v>
      </c>
      <c r="F25" s="10">
        <f>Operating_Drivers!O8</f>
        <v>6775.226061346003</v>
      </c>
      <c r="G25" s="10">
        <f>Operating_Drivers!P8</f>
        <v>7380.5883169202334</v>
      </c>
      <c r="H25" s="8"/>
      <c r="I25" s="113"/>
      <c r="J25" s="113"/>
      <c r="K25" s="113"/>
      <c r="L25" s="113"/>
      <c r="M25" s="113"/>
      <c r="N25" s="113"/>
      <c r="O25" s="8"/>
      <c r="P25" s="8"/>
      <c r="Q25" s="8"/>
      <c r="R25" s="8"/>
      <c r="S25" s="8"/>
      <c r="T25" s="8"/>
    </row>
    <row r="26" spans="1:20" x14ac:dyDescent="0.3">
      <c r="A26" s="6" t="s">
        <v>98</v>
      </c>
      <c r="B26" s="10">
        <f>Operating_Drivers!K11</f>
        <v>4892</v>
      </c>
      <c r="C26" s="10">
        <f>Operating_Drivers!L11</f>
        <v>5804.1843677008874</v>
      </c>
      <c r="D26" s="10">
        <f>Operating_Drivers!M11</f>
        <v>6441.0196616312078</v>
      </c>
      <c r="E26" s="10">
        <f>Operating_Drivers!N11</f>
        <v>7063.0183401494169</v>
      </c>
      <c r="F26" s="10">
        <f>Operating_Drivers!O11</f>
        <v>7652.1918790634545</v>
      </c>
      <c r="G26" s="10">
        <f>Operating_Drivers!P11</f>
        <v>8189.8731695426331</v>
      </c>
      <c r="H26" s="8"/>
      <c r="I26" s="112" t="s">
        <v>669</v>
      </c>
      <c r="J26" s="113"/>
      <c r="K26" s="113"/>
      <c r="L26" s="113"/>
      <c r="M26" s="113"/>
      <c r="N26" s="113"/>
      <c r="O26" s="8"/>
      <c r="P26" s="8"/>
      <c r="Q26" s="8"/>
      <c r="R26" s="8"/>
      <c r="S26" s="8"/>
      <c r="T26" s="8"/>
    </row>
    <row r="27" spans="1:20" x14ac:dyDescent="0.3">
      <c r="A27" s="8"/>
      <c r="B27" s="8"/>
      <c r="C27" s="8"/>
      <c r="D27" s="8"/>
      <c r="E27" s="8"/>
      <c r="F27" s="8"/>
      <c r="G27" s="8"/>
      <c r="H27" s="8"/>
      <c r="I27" s="113"/>
      <c r="J27" s="113"/>
      <c r="K27" s="113"/>
      <c r="L27" s="113"/>
      <c r="M27" s="113"/>
      <c r="N27" s="113"/>
      <c r="O27" s="8"/>
      <c r="P27" s="8"/>
      <c r="Q27" s="8"/>
      <c r="R27" s="8"/>
      <c r="S27" s="8"/>
      <c r="T27" s="8"/>
    </row>
    <row r="28" spans="1:20" x14ac:dyDescent="0.3">
      <c r="A28" s="8"/>
      <c r="B28" s="8"/>
      <c r="C28" s="8"/>
      <c r="D28" s="8"/>
      <c r="E28" s="8"/>
      <c r="F28" s="8"/>
      <c r="G28" s="8"/>
      <c r="H28" s="8"/>
      <c r="I28" s="112" t="s">
        <v>670</v>
      </c>
      <c r="J28" s="113"/>
      <c r="K28" s="113"/>
      <c r="L28" s="113"/>
      <c r="M28" s="113"/>
      <c r="N28" s="113"/>
      <c r="O28" s="8"/>
      <c r="P28" s="8"/>
      <c r="Q28" s="8"/>
      <c r="R28" s="8"/>
      <c r="S28" s="8"/>
      <c r="T28" s="8"/>
    </row>
    <row r="29" spans="1:20" x14ac:dyDescent="0.3">
      <c r="A29" s="8"/>
      <c r="B29" s="8"/>
      <c r="C29" s="8"/>
      <c r="D29" s="8"/>
      <c r="E29" s="8"/>
      <c r="F29" s="8"/>
      <c r="G29" s="8"/>
      <c r="H29" s="8"/>
      <c r="I29" s="113"/>
      <c r="J29" s="113"/>
      <c r="K29" s="113"/>
      <c r="L29" s="113"/>
      <c r="M29" s="113"/>
      <c r="N29" s="113"/>
      <c r="O29" s="8"/>
      <c r="P29" s="8"/>
      <c r="Q29" s="8"/>
      <c r="R29" s="8"/>
      <c r="S29" s="8"/>
      <c r="T29" s="8"/>
    </row>
  </sheetData>
  <mergeCells count="19">
    <mergeCell ref="A1:N1"/>
    <mergeCell ref="A2:N2"/>
    <mergeCell ref="A4:C4"/>
    <mergeCell ref="A5:C6"/>
    <mergeCell ref="E4:G4"/>
    <mergeCell ref="E5:G6"/>
    <mergeCell ref="I4:K4"/>
    <mergeCell ref="I5:K6"/>
    <mergeCell ref="M4:N4"/>
    <mergeCell ref="M5:N6"/>
    <mergeCell ref="I24:N25"/>
    <mergeCell ref="I26:N27"/>
    <mergeCell ref="I28:N29"/>
    <mergeCell ref="A8:F8"/>
    <mergeCell ref="H15:M15"/>
    <mergeCell ref="A22:F22"/>
    <mergeCell ref="A15:F15"/>
    <mergeCell ref="H8:N8"/>
    <mergeCell ref="I23:N23"/>
  </mergeCells>
  <pageMargins left="0.7" right="0.7" top="0.75" bottom="0.75" header="0.3" footer="0.3"/>
  <ignoredErrors>
    <ignoredError sqref="P13"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912C9-B865-4EAE-A4B3-603D09A33A37}">
  <sheetPr>
    <tabColor theme="3" tint="0.249977111117893"/>
  </sheetPr>
  <dimension ref="A1:AC52"/>
  <sheetViews>
    <sheetView showGridLines="0" zoomScale="82" zoomScaleNormal="82" workbookViewId="0">
      <selection activeCell="U23" sqref="U23"/>
    </sheetView>
  </sheetViews>
  <sheetFormatPr defaultRowHeight="14.4" x14ac:dyDescent="0.3"/>
  <cols>
    <col min="1" max="1" width="34.77734375" customWidth="1"/>
    <col min="2" max="16" width="12.77734375" customWidth="1"/>
  </cols>
  <sheetData>
    <row r="1" spans="1:29" ht="21" x14ac:dyDescent="0.3">
      <c r="A1" s="118" t="s">
        <v>15</v>
      </c>
      <c r="B1" s="119"/>
      <c r="C1" s="119"/>
      <c r="D1" s="119"/>
      <c r="E1" s="119"/>
      <c r="F1" s="119"/>
      <c r="G1" s="119"/>
      <c r="H1" s="119"/>
      <c r="I1" s="119"/>
      <c r="J1" s="119"/>
      <c r="K1" s="119"/>
      <c r="L1" s="119"/>
      <c r="M1" s="119"/>
      <c r="N1" s="119"/>
      <c r="O1" s="119"/>
      <c r="P1" s="73"/>
      <c r="Q1" s="8"/>
      <c r="R1" s="8"/>
      <c r="S1" s="8"/>
      <c r="T1" s="8"/>
      <c r="U1" s="8"/>
      <c r="V1" s="8"/>
      <c r="W1" s="8"/>
      <c r="X1" s="8"/>
      <c r="Y1" s="8"/>
      <c r="Z1" s="8"/>
      <c r="AA1" s="8"/>
      <c r="AB1" s="8"/>
      <c r="AC1" s="8"/>
    </row>
    <row r="2" spans="1:29" x14ac:dyDescent="0.3">
      <c r="A2" s="126" t="s">
        <v>16</v>
      </c>
      <c r="B2" s="127"/>
      <c r="C2" s="127"/>
      <c r="D2" s="127"/>
      <c r="E2" s="127"/>
      <c r="F2" s="127"/>
      <c r="G2" s="127"/>
      <c r="H2" s="127"/>
      <c r="I2" s="127"/>
      <c r="J2" s="127"/>
      <c r="K2" s="127"/>
      <c r="L2" s="127"/>
      <c r="M2" s="127"/>
      <c r="N2" s="127"/>
      <c r="O2" s="127"/>
      <c r="P2" s="19"/>
      <c r="Q2" s="8"/>
      <c r="R2" s="8"/>
      <c r="S2" s="8"/>
      <c r="T2" s="8"/>
      <c r="U2" s="8"/>
      <c r="V2" s="8"/>
      <c r="W2" s="8"/>
      <c r="X2" s="8"/>
      <c r="Y2" s="8"/>
      <c r="Z2" s="8"/>
      <c r="AA2" s="8"/>
      <c r="AB2" s="8"/>
      <c r="AC2" s="8"/>
    </row>
    <row r="3" spans="1:29" x14ac:dyDescent="0.3">
      <c r="A3" s="19"/>
      <c r="B3" s="19"/>
      <c r="C3" s="19"/>
      <c r="D3" s="19"/>
      <c r="E3" s="19"/>
      <c r="F3" s="19"/>
      <c r="G3" s="19"/>
      <c r="H3" s="19"/>
      <c r="I3" s="19"/>
      <c r="J3" s="19"/>
      <c r="K3" s="19"/>
      <c r="L3" s="19"/>
      <c r="M3" s="19"/>
      <c r="N3" s="19"/>
      <c r="O3" s="19"/>
      <c r="P3" s="19"/>
      <c r="Q3" s="8"/>
      <c r="R3" s="8"/>
      <c r="S3" s="8"/>
      <c r="T3" s="8"/>
      <c r="U3" s="8"/>
      <c r="V3" s="8"/>
      <c r="W3" s="8"/>
      <c r="X3" s="8"/>
      <c r="Y3" s="8"/>
      <c r="Z3" s="8"/>
      <c r="AA3" s="8"/>
      <c r="AB3" s="8"/>
      <c r="AC3" s="8"/>
    </row>
    <row r="4" spans="1:29" ht="40.799999999999997" x14ac:dyDescent="0.3">
      <c r="A4" s="19"/>
      <c r="B4" s="77" t="s">
        <v>0</v>
      </c>
      <c r="C4" s="77" t="s">
        <v>1</v>
      </c>
      <c r="D4" s="77" t="s">
        <v>2</v>
      </c>
      <c r="E4" s="77" t="s">
        <v>3</v>
      </c>
      <c r="F4" s="77" t="s">
        <v>4</v>
      </c>
      <c r="G4" s="77" t="s">
        <v>5</v>
      </c>
      <c r="H4" s="77" t="s">
        <v>6</v>
      </c>
      <c r="I4" s="77" t="s">
        <v>7</v>
      </c>
      <c r="J4" s="77" t="s">
        <v>8</v>
      </c>
      <c r="K4" s="78" t="s">
        <v>9</v>
      </c>
      <c r="L4" s="17" t="s">
        <v>10</v>
      </c>
      <c r="M4" s="15" t="s">
        <v>11</v>
      </c>
      <c r="N4" s="15" t="s">
        <v>12</v>
      </c>
      <c r="O4" s="15" t="s">
        <v>13</v>
      </c>
      <c r="P4" s="15" t="s">
        <v>14</v>
      </c>
      <c r="Q4" s="8"/>
      <c r="R4" s="8"/>
      <c r="S4" s="8"/>
      <c r="T4" s="8"/>
      <c r="U4" s="8"/>
      <c r="V4" s="8"/>
      <c r="W4" s="8"/>
      <c r="X4" s="8"/>
      <c r="Y4" s="8"/>
      <c r="Z4" s="8"/>
      <c r="AA4" s="8"/>
      <c r="AB4" s="8"/>
      <c r="AC4" s="8"/>
    </row>
    <row r="5" spans="1:29" x14ac:dyDescent="0.3">
      <c r="A5" s="8"/>
      <c r="B5" s="20"/>
      <c r="C5" s="20"/>
      <c r="D5" s="20"/>
      <c r="E5" s="20"/>
      <c r="F5" s="20"/>
      <c r="G5" s="20"/>
      <c r="H5" s="20"/>
      <c r="I5" s="20"/>
      <c r="J5" s="20"/>
      <c r="K5" s="20"/>
      <c r="L5" s="21"/>
      <c r="M5" s="21"/>
      <c r="N5" s="21"/>
      <c r="O5" s="21"/>
      <c r="P5" s="21"/>
      <c r="Q5" s="8"/>
      <c r="R5" s="8"/>
      <c r="S5" s="8"/>
      <c r="T5" s="8"/>
      <c r="U5" s="8"/>
      <c r="V5" s="8"/>
      <c r="W5" s="8"/>
      <c r="X5" s="8"/>
      <c r="Y5" s="8"/>
      <c r="Z5" s="8"/>
      <c r="AA5" s="8"/>
      <c r="AB5" s="8"/>
      <c r="AC5" s="8"/>
    </row>
    <row r="6" spans="1:29" x14ac:dyDescent="0.3">
      <c r="A6" s="74" t="s">
        <v>18</v>
      </c>
      <c r="B6" s="76"/>
      <c r="C6" s="76"/>
      <c r="D6" s="76"/>
      <c r="E6" s="76"/>
      <c r="F6" s="76"/>
      <c r="G6" s="76"/>
      <c r="H6" s="76"/>
      <c r="I6" s="76"/>
      <c r="J6" s="76"/>
      <c r="K6" s="76"/>
      <c r="L6" s="76"/>
      <c r="M6" s="76"/>
      <c r="N6" s="76"/>
      <c r="O6" s="76"/>
      <c r="P6" s="76"/>
      <c r="Q6" s="8"/>
      <c r="R6" s="8"/>
      <c r="S6" s="8"/>
      <c r="T6" s="8"/>
      <c r="U6" s="8"/>
      <c r="V6" s="8"/>
      <c r="W6" s="8"/>
      <c r="X6" s="8"/>
      <c r="Y6" s="8"/>
      <c r="Z6" s="8"/>
      <c r="AA6" s="8"/>
      <c r="AB6" s="8"/>
      <c r="AC6" s="8"/>
    </row>
    <row r="7" spans="1:29" x14ac:dyDescent="0.3">
      <c r="A7" s="6" t="s">
        <v>81</v>
      </c>
      <c r="B7" s="22">
        <v>13783</v>
      </c>
      <c r="C7" s="22">
        <v>13671</v>
      </c>
      <c r="D7" s="22">
        <v>15067</v>
      </c>
      <c r="E7" s="22">
        <v>15450</v>
      </c>
      <c r="F7" s="22">
        <v>11430</v>
      </c>
      <c r="G7" s="22">
        <v>10947</v>
      </c>
      <c r="H7" s="22">
        <v>12691</v>
      </c>
      <c r="I7" s="23">
        <v>15409</v>
      </c>
      <c r="J7" s="22">
        <v>17848</v>
      </c>
      <c r="K7" s="23">
        <v>20059</v>
      </c>
      <c r="L7" s="21"/>
      <c r="M7" s="21"/>
      <c r="N7" s="21"/>
      <c r="O7" s="21"/>
      <c r="P7" s="21"/>
      <c r="Q7" s="8"/>
      <c r="R7" s="8"/>
      <c r="S7" s="8"/>
      <c r="T7" s="8"/>
      <c r="U7" s="8"/>
      <c r="V7" s="8"/>
      <c r="W7" s="8"/>
      <c r="X7" s="8"/>
      <c r="Y7" s="8"/>
      <c r="Z7" s="8"/>
      <c r="AA7" s="8"/>
      <c r="AB7" s="8"/>
      <c r="AC7" s="8"/>
    </row>
    <row r="8" spans="1:29" x14ac:dyDescent="0.3">
      <c r="A8" s="6" t="s">
        <v>80</v>
      </c>
      <c r="B8" s="22">
        <v>14955</v>
      </c>
      <c r="C8" s="22">
        <v>14747</v>
      </c>
      <c r="D8" s="22">
        <v>15729</v>
      </c>
      <c r="E8" s="22">
        <v>16587</v>
      </c>
      <c r="F8" s="22">
        <v>11491</v>
      </c>
      <c r="G8" s="22">
        <v>11218</v>
      </c>
      <c r="H8" s="22">
        <v>13520</v>
      </c>
      <c r="I8" s="22">
        <v>16486</v>
      </c>
      <c r="J8" s="24">
        <f>Raw_Data!$AK$4</f>
        <v>18909</v>
      </c>
      <c r="K8" s="10">
        <f>Raw_Data!$AJ$4</f>
        <v>21207</v>
      </c>
      <c r="L8" s="21"/>
      <c r="M8" s="21"/>
      <c r="N8" s="21"/>
      <c r="O8" s="21"/>
      <c r="P8" s="21"/>
      <c r="Q8" s="8"/>
      <c r="R8" s="8"/>
      <c r="S8" s="8"/>
      <c r="T8" s="8"/>
      <c r="U8" s="8"/>
      <c r="V8" s="8"/>
      <c r="W8" s="8"/>
      <c r="X8" s="8"/>
      <c r="Y8" s="8"/>
      <c r="Z8" s="8"/>
      <c r="AA8" s="8"/>
      <c r="AB8" s="8"/>
      <c r="AC8" s="8"/>
    </row>
    <row r="9" spans="1:29" s="1" customFormat="1" x14ac:dyDescent="0.3">
      <c r="A9" s="25" t="s">
        <v>82</v>
      </c>
      <c r="B9" s="25"/>
      <c r="C9" s="26" t="s">
        <v>91</v>
      </c>
      <c r="D9" s="27">
        <f>D7/C7-1</f>
        <v>0.10211396386511584</v>
      </c>
      <c r="E9" s="27">
        <f t="shared" ref="E9:K9" si="0">IFERROR(E7/D7-1,"")</f>
        <v>2.5419791597530939E-2</v>
      </c>
      <c r="F9" s="27">
        <f t="shared" si="0"/>
        <v>-0.26019417475728157</v>
      </c>
      <c r="G9" s="27">
        <f t="shared" si="0"/>
        <v>-4.2257217847769035E-2</v>
      </c>
      <c r="H9" s="27">
        <f t="shared" si="0"/>
        <v>0.1593130538046954</v>
      </c>
      <c r="I9" s="27">
        <f t="shared" si="0"/>
        <v>0.21416752028996933</v>
      </c>
      <c r="J9" s="27">
        <f t="shared" si="0"/>
        <v>0.15828411967032263</v>
      </c>
      <c r="K9" s="27">
        <f t="shared" si="0"/>
        <v>0.12387942626624837</v>
      </c>
      <c r="L9" s="28"/>
      <c r="M9" s="28"/>
      <c r="N9" s="28"/>
      <c r="O9" s="28"/>
      <c r="P9" s="28"/>
      <c r="Q9" s="25"/>
      <c r="R9" s="25"/>
      <c r="S9" s="25"/>
      <c r="T9" s="25"/>
      <c r="U9" s="25"/>
      <c r="V9" s="25"/>
      <c r="W9" s="25"/>
      <c r="X9" s="25"/>
      <c r="Y9" s="25"/>
      <c r="Z9" s="25"/>
      <c r="AA9" s="25"/>
      <c r="AB9" s="25"/>
      <c r="AC9" s="25"/>
    </row>
    <row r="10" spans="1:29" x14ac:dyDescent="0.3">
      <c r="A10" s="6" t="s">
        <v>20</v>
      </c>
      <c r="B10" s="22">
        <v>915</v>
      </c>
      <c r="C10" s="22">
        <v>306</v>
      </c>
      <c r="D10" s="22">
        <v>616</v>
      </c>
      <c r="E10" s="22">
        <v>808</v>
      </c>
      <c r="F10" s="22">
        <v>-2008</v>
      </c>
      <c r="G10" s="22">
        <v>414</v>
      </c>
      <c r="H10" s="22">
        <v>652</v>
      </c>
      <c r="I10" s="22">
        <v>1590</v>
      </c>
      <c r="J10" s="22">
        <v>2464</v>
      </c>
      <c r="K10" s="23">
        <v>3462</v>
      </c>
      <c r="L10" s="21"/>
      <c r="M10" s="21"/>
      <c r="N10" s="21"/>
      <c r="O10" s="21"/>
      <c r="P10" s="21"/>
      <c r="Q10" s="8"/>
      <c r="R10" s="8"/>
      <c r="S10" s="8"/>
      <c r="T10" s="8"/>
      <c r="U10" s="8"/>
      <c r="V10" s="8"/>
      <c r="W10" s="8"/>
      <c r="X10" s="8"/>
      <c r="Y10" s="8"/>
      <c r="Z10" s="8"/>
      <c r="AA10" s="8"/>
      <c r="AB10" s="8"/>
      <c r="AC10" s="8"/>
    </row>
    <row r="11" spans="1:29" s="1" customFormat="1" x14ac:dyDescent="0.3">
      <c r="A11" s="25" t="s">
        <v>21</v>
      </c>
      <c r="B11" s="27">
        <f xml:space="preserve"> IFERROR(B10/B7,"")</f>
        <v>6.6386127838641812E-2</v>
      </c>
      <c r="C11" s="27">
        <f t="shared" ref="C11:K11" si="1" xml:space="preserve"> IFERROR(C10/C7,"")</f>
        <v>2.2383146807109941E-2</v>
      </c>
      <c r="D11" s="27">
        <f t="shared" si="1"/>
        <v>4.0884051237804475E-2</v>
      </c>
      <c r="E11" s="27">
        <f t="shared" si="1"/>
        <v>5.2297734627831716E-2</v>
      </c>
      <c r="F11" s="27">
        <f t="shared" si="1"/>
        <v>-0.17567804024496939</v>
      </c>
      <c r="G11" s="27">
        <f t="shared" si="1"/>
        <v>3.7818580432995338E-2</v>
      </c>
      <c r="H11" s="27">
        <f t="shared" si="1"/>
        <v>5.1374990150500358E-2</v>
      </c>
      <c r="I11" s="27">
        <f t="shared" si="1"/>
        <v>0.10318644947757803</v>
      </c>
      <c r="J11" s="27">
        <f t="shared" si="1"/>
        <v>0.13805468399820708</v>
      </c>
      <c r="K11" s="27">
        <f t="shared" si="1"/>
        <v>0.1725908569719328</v>
      </c>
      <c r="L11" s="28"/>
      <c r="M11" s="28"/>
      <c r="N11" s="28"/>
      <c r="O11" s="28"/>
      <c r="P11" s="28"/>
      <c r="Q11" s="25"/>
      <c r="R11" s="25"/>
      <c r="S11" s="25"/>
      <c r="T11" s="25"/>
      <c r="U11" s="25"/>
      <c r="V11" s="25"/>
      <c r="W11" s="25"/>
      <c r="X11" s="25"/>
      <c r="Y11" s="25"/>
      <c r="Z11" s="25"/>
      <c r="AA11" s="25"/>
      <c r="AB11" s="25"/>
      <c r="AC11" s="25"/>
    </row>
    <row r="12" spans="1:29" x14ac:dyDescent="0.3">
      <c r="A12" s="6" t="s">
        <v>22</v>
      </c>
      <c r="B12" s="22">
        <v>44</v>
      </c>
      <c r="C12" s="22">
        <v>366</v>
      </c>
      <c r="D12" s="22">
        <v>-1161</v>
      </c>
      <c r="E12" s="22">
        <v>-852</v>
      </c>
      <c r="F12" s="22">
        <v>-1972</v>
      </c>
      <c r="G12" s="22">
        <v>513</v>
      </c>
      <c r="H12" s="22">
        <v>837</v>
      </c>
      <c r="I12" s="22">
        <v>1944</v>
      </c>
      <c r="J12" s="24">
        <f>Raw_Data!$AK$5</f>
        <v>2906</v>
      </c>
      <c r="K12" s="24">
        <f>Raw_Data!$AJ$5</f>
        <v>4468</v>
      </c>
      <c r="L12" s="21"/>
      <c r="M12" s="21"/>
      <c r="N12" s="21"/>
      <c r="O12" s="21"/>
      <c r="P12" s="21"/>
      <c r="Q12" s="8"/>
      <c r="R12" s="8"/>
      <c r="S12" s="8"/>
      <c r="T12" s="8"/>
      <c r="U12" s="8"/>
      <c r="V12" s="8"/>
      <c r="W12" s="8"/>
      <c r="X12" s="8"/>
      <c r="Y12" s="8"/>
      <c r="Z12" s="8"/>
      <c r="AA12" s="8"/>
      <c r="AB12" s="8"/>
      <c r="AC12" s="8"/>
    </row>
    <row r="13" spans="1:29" x14ac:dyDescent="0.3">
      <c r="A13" s="6" t="s">
        <v>87</v>
      </c>
      <c r="B13" s="22">
        <v>-3</v>
      </c>
      <c r="C13" s="22">
        <v>785</v>
      </c>
      <c r="D13" s="22">
        <v>358</v>
      </c>
      <c r="E13" s="22">
        <v>139</v>
      </c>
      <c r="F13" s="22">
        <v>-14</v>
      </c>
      <c r="G13" s="22">
        <v>56</v>
      </c>
      <c r="H13" s="22">
        <v>81</v>
      </c>
      <c r="I13" s="22">
        <v>1</v>
      </c>
      <c r="J13" s="24">
        <f>Raw_Data!$AK6</f>
        <v>16</v>
      </c>
      <c r="K13" s="24">
        <f>Raw_Data!$AJ6</f>
        <v>809</v>
      </c>
      <c r="L13" s="21"/>
      <c r="M13" s="21"/>
      <c r="N13" s="21"/>
      <c r="O13" s="21"/>
      <c r="P13" s="21"/>
      <c r="Q13" s="8"/>
      <c r="R13" s="8"/>
      <c r="S13" s="8"/>
      <c r="T13" s="8"/>
      <c r="U13" s="8"/>
      <c r="V13" s="8"/>
      <c r="W13" s="8"/>
      <c r="X13" s="8"/>
      <c r="Y13" s="8"/>
      <c r="Z13" s="8"/>
      <c r="AA13" s="8"/>
      <c r="AB13" s="8"/>
      <c r="AC13" s="8"/>
    </row>
    <row r="14" spans="1:29" s="1" customFormat="1" x14ac:dyDescent="0.3">
      <c r="A14" s="25" t="s">
        <v>23</v>
      </c>
      <c r="B14" s="27">
        <f xml:space="preserve"> IFERROR(B12/B8,"")</f>
        <v>2.9421598127716483E-3</v>
      </c>
      <c r="C14" s="27">
        <f t="shared" ref="C14:I14" si="2">C12/C8</f>
        <v>2.4818607174340545E-2</v>
      </c>
      <c r="D14" s="27">
        <f t="shared" si="2"/>
        <v>-7.3812702651153916E-2</v>
      </c>
      <c r="E14" s="27">
        <f t="shared" si="2"/>
        <v>-5.1365527220112138E-2</v>
      </c>
      <c r="F14" s="27">
        <f t="shared" si="2"/>
        <v>-0.17161256635627883</v>
      </c>
      <c r="G14" s="27">
        <f t="shared" si="2"/>
        <v>4.5730076662506683E-2</v>
      </c>
      <c r="H14" s="27">
        <f t="shared" si="2"/>
        <v>6.1908284023668637E-2</v>
      </c>
      <c r="I14" s="27">
        <f t="shared" si="2"/>
        <v>0.11791823365279631</v>
      </c>
      <c r="J14" s="27">
        <f>J12/J8</f>
        <v>0.15368343117034217</v>
      </c>
      <c r="K14" s="27">
        <f>K12/K8</f>
        <v>0.21068515112934408</v>
      </c>
      <c r="L14" s="28"/>
      <c r="M14" s="28"/>
      <c r="N14" s="28"/>
      <c r="O14" s="28"/>
      <c r="P14" s="28"/>
      <c r="Q14" s="25"/>
      <c r="R14" s="25"/>
      <c r="S14" s="25"/>
      <c r="T14" s="25"/>
      <c r="U14" s="25"/>
      <c r="V14" s="25"/>
      <c r="W14" s="25"/>
      <c r="X14" s="25"/>
      <c r="Y14" s="25"/>
      <c r="Z14" s="25"/>
      <c r="AA14" s="25"/>
      <c r="AB14" s="25"/>
      <c r="AC14" s="25"/>
    </row>
    <row r="15" spans="1:29" x14ac:dyDescent="0.3">
      <c r="A15" s="6" t="s">
        <v>83</v>
      </c>
      <c r="B15" s="22">
        <v>-4677</v>
      </c>
      <c r="C15" s="22">
        <v>2747</v>
      </c>
      <c r="D15" s="22">
        <v>-2144</v>
      </c>
      <c r="E15" s="22">
        <v>-178</v>
      </c>
      <c r="F15" s="22">
        <v>-813</v>
      </c>
      <c r="G15" s="22">
        <v>-863</v>
      </c>
      <c r="H15" s="22">
        <v>-2420</v>
      </c>
      <c r="I15" s="22">
        <v>482</v>
      </c>
      <c r="J15" s="24">
        <f>Raw_Data!$AK$7</f>
        <v>-688</v>
      </c>
      <c r="K15" s="24">
        <f>Raw_Data!$AJ$7</f>
        <v>1658</v>
      </c>
      <c r="L15" s="21"/>
      <c r="M15" s="21"/>
      <c r="N15" s="21"/>
      <c r="O15" s="21"/>
      <c r="P15" s="21"/>
      <c r="Q15" s="8"/>
      <c r="R15" s="8"/>
      <c r="S15" s="8"/>
      <c r="T15" s="8"/>
      <c r="U15" s="8"/>
      <c r="V15" s="8"/>
      <c r="W15" s="8"/>
      <c r="X15" s="8"/>
      <c r="Y15" s="8"/>
      <c r="Z15" s="8"/>
      <c r="AA15" s="8"/>
      <c r="AB15" s="8"/>
      <c r="AC15" s="8"/>
    </row>
    <row r="16" spans="1:29" x14ac:dyDescent="0.3">
      <c r="A16" s="6" t="s">
        <v>24</v>
      </c>
      <c r="B16" s="22">
        <v>-4636</v>
      </c>
      <c r="C16" s="22">
        <v>3898</v>
      </c>
      <c r="D16" s="22">
        <v>-2947</v>
      </c>
      <c r="E16" s="22">
        <v>-891</v>
      </c>
      <c r="F16" s="22">
        <v>-2799</v>
      </c>
      <c r="G16" s="22">
        <v>-294</v>
      </c>
      <c r="H16" s="22">
        <v>-1502</v>
      </c>
      <c r="I16" s="22">
        <v>2427</v>
      </c>
      <c r="J16" s="24">
        <f>Raw_Data!$AK$8</f>
        <v>2234</v>
      </c>
      <c r="K16" s="10">
        <f>Raw_Data!$AJ$8</f>
        <v>6935</v>
      </c>
      <c r="L16" s="21"/>
      <c r="M16" s="21"/>
      <c r="N16" s="21"/>
      <c r="O16" s="21"/>
      <c r="P16" s="21"/>
      <c r="Q16" s="8"/>
      <c r="R16" s="8"/>
      <c r="S16" s="8"/>
      <c r="T16" s="8"/>
      <c r="U16" s="8"/>
      <c r="V16" s="8"/>
      <c r="W16" s="8"/>
      <c r="X16" s="8"/>
      <c r="Y16" s="8"/>
      <c r="Z16" s="8"/>
      <c r="AA16" s="8"/>
      <c r="AB16" s="8"/>
      <c r="AC16" s="8"/>
    </row>
    <row r="17" spans="1:29" x14ac:dyDescent="0.3">
      <c r="A17" s="6" t="s">
        <v>94</v>
      </c>
      <c r="B17" s="22">
        <v>604</v>
      </c>
      <c r="C17" s="22">
        <v>-515</v>
      </c>
      <c r="D17" s="22">
        <v>-554</v>
      </c>
      <c r="E17" s="22">
        <v>-420</v>
      </c>
      <c r="F17" s="22">
        <v>-302</v>
      </c>
      <c r="G17" s="22">
        <v>418</v>
      </c>
      <c r="H17" s="22">
        <v>308</v>
      </c>
      <c r="I17" s="22">
        <v>-23</v>
      </c>
      <c r="J17" s="24">
        <f>Raw_Data!$AK$9</f>
        <v>250</v>
      </c>
      <c r="K17" s="10">
        <f>Raw_Data!$AJ$9</f>
        <v>-1099</v>
      </c>
      <c r="L17" s="21"/>
      <c r="M17" s="21"/>
      <c r="N17" s="21"/>
      <c r="O17" s="21"/>
      <c r="P17" s="21"/>
      <c r="Q17" s="8"/>
      <c r="R17" s="8"/>
      <c r="S17" s="8"/>
      <c r="T17" s="8"/>
      <c r="U17" s="8"/>
      <c r="V17" s="8"/>
      <c r="W17" s="8"/>
      <c r="X17" s="8"/>
      <c r="Y17" s="8"/>
      <c r="Z17" s="8"/>
      <c r="AA17" s="8"/>
      <c r="AB17" s="8"/>
      <c r="AC17" s="8"/>
    </row>
    <row r="18" spans="1:29" s="1" customFormat="1" x14ac:dyDescent="0.3">
      <c r="A18" s="25" t="s">
        <v>25</v>
      </c>
      <c r="B18" s="27">
        <f>-B17/B16</f>
        <v>0.13028472821397757</v>
      </c>
      <c r="C18" s="27">
        <f t="shared" ref="C18:J18" si="3">-C17/C16</f>
        <v>0.13211903540277065</v>
      </c>
      <c r="D18" s="27">
        <f t="shared" si="3"/>
        <v>-0.18798778418730913</v>
      </c>
      <c r="E18" s="27">
        <f t="shared" si="3"/>
        <v>-0.4713804713804714</v>
      </c>
      <c r="F18" s="27">
        <f t="shared" si="3"/>
        <v>-0.10789567702750982</v>
      </c>
      <c r="G18" s="27">
        <f t="shared" si="3"/>
        <v>1.4217687074829932</v>
      </c>
      <c r="H18" s="27">
        <f t="shared" si="3"/>
        <v>0.20505992010652463</v>
      </c>
      <c r="I18" s="27">
        <f t="shared" si="3"/>
        <v>9.476720230737536E-3</v>
      </c>
      <c r="J18" s="27">
        <f t="shared" si="3"/>
        <v>-0.11190689346463742</v>
      </c>
      <c r="K18" s="27">
        <f>-K17/K16</f>
        <v>0.15847152126892575</v>
      </c>
      <c r="L18" s="28"/>
      <c r="M18" s="28"/>
      <c r="N18" s="28"/>
      <c r="O18" s="28"/>
      <c r="P18" s="28"/>
      <c r="Q18" s="25"/>
      <c r="R18" s="25"/>
      <c r="S18" s="25"/>
      <c r="T18" s="25"/>
      <c r="U18" s="25"/>
      <c r="V18" s="25"/>
      <c r="W18" s="25"/>
      <c r="X18" s="25"/>
      <c r="Y18" s="25"/>
      <c r="Z18" s="25"/>
      <c r="AA18" s="25"/>
      <c r="AB18" s="25"/>
      <c r="AC18" s="25"/>
    </row>
    <row r="19" spans="1:29" x14ac:dyDescent="0.3">
      <c r="A19" s="6" t="s">
        <v>86</v>
      </c>
      <c r="B19" s="22">
        <v>-4032</v>
      </c>
      <c r="C19" s="22">
        <v>3382</v>
      </c>
      <c r="D19" s="22">
        <v>-2401</v>
      </c>
      <c r="E19" s="22">
        <v>-1315</v>
      </c>
      <c r="F19" s="22">
        <v>-3101</v>
      </c>
      <c r="G19" s="22">
        <v>123</v>
      </c>
      <c r="H19" s="22">
        <v>-1189</v>
      </c>
      <c r="I19" s="22">
        <v>2412</v>
      </c>
      <c r="J19" s="24">
        <f>Raw_Data!$AK$10</f>
        <v>2521</v>
      </c>
      <c r="K19" s="10">
        <f>Raw_Data!$AJ$10</f>
        <v>5841</v>
      </c>
      <c r="L19" s="21"/>
      <c r="M19" s="21"/>
      <c r="N19" s="21"/>
      <c r="O19" s="21"/>
      <c r="P19" s="21"/>
      <c r="Q19" s="8"/>
      <c r="R19" s="8"/>
      <c r="S19" s="8"/>
      <c r="T19" s="8"/>
      <c r="U19" s="8"/>
      <c r="V19" s="8"/>
      <c r="W19" s="8"/>
      <c r="X19" s="8"/>
      <c r="Y19" s="8"/>
      <c r="Z19" s="8"/>
      <c r="AA19" s="8"/>
      <c r="AB19" s="8"/>
      <c r="AC19" s="8"/>
    </row>
    <row r="20" spans="1:29" x14ac:dyDescent="0.3">
      <c r="A20" s="6" t="s">
        <v>26</v>
      </c>
      <c r="B20" s="22">
        <v>-220.08</v>
      </c>
      <c r="C20" s="22">
        <v>183.8</v>
      </c>
      <c r="D20" s="22">
        <v>-129.15</v>
      </c>
      <c r="E20" s="22">
        <v>-69.069999999999993</v>
      </c>
      <c r="F20" s="22">
        <v>-51.81</v>
      </c>
      <c r="G20" s="22">
        <v>1.47</v>
      </c>
      <c r="H20" s="22">
        <v>-14.24</v>
      </c>
      <c r="I20" s="22">
        <v>28.7</v>
      </c>
      <c r="J20" s="22">
        <v>29.87</v>
      </c>
      <c r="K20" s="22">
        <v>69.14</v>
      </c>
      <c r="L20" s="21"/>
      <c r="M20" s="21"/>
      <c r="N20" s="21"/>
      <c r="O20" s="21"/>
      <c r="P20" s="21"/>
      <c r="Q20" s="8"/>
      <c r="R20" s="8"/>
      <c r="S20" s="8"/>
      <c r="T20" s="8"/>
      <c r="U20" s="8"/>
      <c r="V20" s="8"/>
      <c r="W20" s="8"/>
      <c r="X20" s="8"/>
      <c r="Y20" s="8"/>
      <c r="Z20" s="8"/>
      <c r="AA20" s="8"/>
      <c r="AB20" s="8"/>
      <c r="AC20" s="8"/>
    </row>
    <row r="21" spans="1:29" x14ac:dyDescent="0.3">
      <c r="A21" s="8"/>
      <c r="B21" s="20"/>
      <c r="C21" s="20"/>
      <c r="D21" s="20"/>
      <c r="E21" s="20"/>
      <c r="F21" s="20"/>
      <c r="G21" s="20"/>
      <c r="H21" s="20"/>
      <c r="I21" s="20"/>
      <c r="J21" s="20"/>
      <c r="K21" s="20"/>
      <c r="L21" s="21"/>
      <c r="M21" s="21"/>
      <c r="N21" s="21"/>
      <c r="O21" s="21"/>
      <c r="P21" s="21"/>
      <c r="Q21" s="8"/>
      <c r="R21" s="8"/>
      <c r="S21" s="8"/>
      <c r="T21" s="8"/>
      <c r="U21" s="8"/>
      <c r="V21" s="8"/>
      <c r="W21" s="8"/>
      <c r="X21" s="8"/>
      <c r="Y21" s="8"/>
      <c r="Z21" s="8"/>
      <c r="AA21" s="8"/>
      <c r="AB21" s="8"/>
      <c r="AC21" s="8"/>
    </row>
    <row r="22" spans="1:29" x14ac:dyDescent="0.3">
      <c r="A22" s="74" t="s">
        <v>27</v>
      </c>
      <c r="B22" s="76"/>
      <c r="C22" s="76"/>
      <c r="D22" s="76"/>
      <c r="E22" s="76"/>
      <c r="F22" s="76"/>
      <c r="G22" s="76"/>
      <c r="H22" s="76"/>
      <c r="I22" s="76"/>
      <c r="J22" s="76"/>
      <c r="K22" s="76"/>
      <c r="L22" s="76"/>
      <c r="M22" s="76"/>
      <c r="N22" s="76"/>
      <c r="O22" s="76"/>
      <c r="P22" s="76"/>
      <c r="Q22" s="8"/>
      <c r="R22" s="8"/>
      <c r="S22" s="8"/>
      <c r="T22" s="8"/>
      <c r="U22" s="8"/>
      <c r="V22" s="8"/>
      <c r="W22" s="8"/>
      <c r="X22" s="8"/>
      <c r="Y22" s="8"/>
      <c r="Z22" s="8"/>
      <c r="AA22" s="8"/>
      <c r="AB22" s="8"/>
      <c r="AC22" s="8"/>
    </row>
    <row r="23" spans="1:29" x14ac:dyDescent="0.3">
      <c r="A23" s="6" t="s">
        <v>89</v>
      </c>
      <c r="B23" s="22">
        <v>720</v>
      </c>
      <c r="C23" s="22">
        <v>652</v>
      </c>
      <c r="D23" s="22">
        <v>756</v>
      </c>
      <c r="E23" s="22">
        <v>1068</v>
      </c>
      <c r="F23" s="22">
        <v>1048</v>
      </c>
      <c r="G23" s="22">
        <v>971</v>
      </c>
      <c r="H23" s="22">
        <v>953</v>
      </c>
      <c r="I23" s="22">
        <v>978</v>
      </c>
      <c r="J23" s="22">
        <v>853</v>
      </c>
      <c r="K23" s="22">
        <v>900</v>
      </c>
      <c r="L23" s="21"/>
      <c r="M23" s="21"/>
      <c r="N23" s="21"/>
      <c r="O23" s="21"/>
      <c r="P23" s="21"/>
      <c r="Q23" s="8"/>
      <c r="R23" s="8"/>
      <c r="S23" s="8"/>
      <c r="T23" s="8"/>
      <c r="U23" s="8"/>
      <c r="V23" s="8"/>
      <c r="W23" s="8"/>
      <c r="X23" s="8"/>
      <c r="Y23" s="8"/>
      <c r="Z23" s="8"/>
      <c r="AA23" s="8"/>
      <c r="AB23" s="8"/>
      <c r="AC23" s="8"/>
    </row>
    <row r="24" spans="1:29" x14ac:dyDescent="0.3">
      <c r="A24" s="6" t="s">
        <v>90</v>
      </c>
      <c r="B24" s="22">
        <v>-1201</v>
      </c>
      <c r="C24" s="22">
        <v>-1377</v>
      </c>
      <c r="D24" s="22">
        <v>-1585</v>
      </c>
      <c r="E24" s="22">
        <v>-1338</v>
      </c>
      <c r="F24" s="22">
        <v>-895</v>
      </c>
      <c r="G24" s="22">
        <v>-496</v>
      </c>
      <c r="H24" s="22">
        <v>-504</v>
      </c>
      <c r="I24" s="22">
        <v>-695</v>
      </c>
      <c r="J24" s="22">
        <v>-876</v>
      </c>
      <c r="K24" s="22">
        <v>-978</v>
      </c>
      <c r="L24" s="21"/>
      <c r="M24" s="21"/>
      <c r="N24" s="21"/>
      <c r="O24" s="21"/>
      <c r="P24" s="21"/>
      <c r="Q24" s="8"/>
      <c r="R24" s="8"/>
      <c r="S24" s="8"/>
      <c r="T24" s="8"/>
      <c r="U24" s="8"/>
      <c r="V24" s="8"/>
      <c r="W24" s="8"/>
      <c r="X24" s="8"/>
      <c r="Y24" s="8"/>
      <c r="Z24" s="8"/>
      <c r="AA24" s="8"/>
      <c r="AB24" s="8"/>
      <c r="AC24" s="8"/>
    </row>
    <row r="25" spans="1:29" x14ac:dyDescent="0.3">
      <c r="A25" s="6" t="s">
        <v>84</v>
      </c>
      <c r="B25" s="22">
        <v>-55</v>
      </c>
      <c r="C25" s="22">
        <v>-219</v>
      </c>
      <c r="D25" s="22">
        <v>581</v>
      </c>
      <c r="E25" s="22">
        <v>531</v>
      </c>
      <c r="F25" s="22">
        <v>-1527</v>
      </c>
      <c r="G25" s="22">
        <v>-810</v>
      </c>
      <c r="H25" s="22">
        <v>-524</v>
      </c>
      <c r="I25" s="22">
        <v>-356</v>
      </c>
      <c r="J25" s="22">
        <v>280</v>
      </c>
      <c r="K25" s="22">
        <v>421</v>
      </c>
      <c r="L25" s="21"/>
      <c r="M25" s="21"/>
      <c r="N25" s="21"/>
      <c r="O25" s="21"/>
      <c r="P25" s="21"/>
      <c r="Q25" s="8"/>
      <c r="R25" s="8"/>
      <c r="S25" s="8"/>
      <c r="T25" s="8"/>
      <c r="U25" s="8"/>
      <c r="V25" s="8"/>
      <c r="W25" s="8"/>
      <c r="X25" s="8"/>
      <c r="Y25" s="8"/>
      <c r="Z25" s="8"/>
      <c r="AA25" s="8"/>
      <c r="AB25" s="8"/>
      <c r="AC25" s="8"/>
    </row>
    <row r="26" spans="1:29" x14ac:dyDescent="0.3">
      <c r="A26" s="6" t="s">
        <v>29</v>
      </c>
      <c r="B26" s="22">
        <v>-157</v>
      </c>
      <c r="C26" s="22">
        <v>-180</v>
      </c>
      <c r="D26" s="22">
        <v>-248</v>
      </c>
      <c r="E26" s="22">
        <v>-175</v>
      </c>
      <c r="F26" s="22">
        <v>-231</v>
      </c>
      <c r="G26" s="22">
        <v>-185</v>
      </c>
      <c r="H26" s="22">
        <v>-174</v>
      </c>
      <c r="I26" s="22">
        <v>-172</v>
      </c>
      <c r="J26" s="22">
        <v>-381</v>
      </c>
      <c r="K26" s="22">
        <v>-555</v>
      </c>
      <c r="L26" s="21"/>
      <c r="M26" s="21"/>
      <c r="N26" s="21"/>
      <c r="O26" s="21"/>
      <c r="P26" s="21"/>
      <c r="Q26" s="8"/>
      <c r="R26" s="8"/>
      <c r="S26" s="8"/>
      <c r="T26" s="8"/>
      <c r="U26" s="8"/>
      <c r="V26" s="8"/>
      <c r="W26" s="8"/>
      <c r="X26" s="8"/>
      <c r="Y26" s="8"/>
      <c r="Z26" s="8"/>
      <c r="AA26" s="8"/>
      <c r="AB26" s="8"/>
      <c r="AC26" s="8"/>
    </row>
    <row r="27" spans="1:29" x14ac:dyDescent="0.3">
      <c r="A27" s="6" t="s">
        <v>85</v>
      </c>
      <c r="B27" s="22">
        <v>100</v>
      </c>
      <c r="C27" s="22">
        <v>259</v>
      </c>
      <c r="D27" s="22">
        <v>568</v>
      </c>
      <c r="E27" s="22">
        <v>873</v>
      </c>
      <c r="F27" s="22">
        <v>-4255</v>
      </c>
      <c r="G27" s="22">
        <v>-1485</v>
      </c>
      <c r="H27" s="22">
        <v>505</v>
      </c>
      <c r="I27" s="22">
        <v>1285</v>
      </c>
      <c r="J27" s="22">
        <v>2425</v>
      </c>
      <c r="K27" s="22">
        <v>3270</v>
      </c>
      <c r="L27" s="21"/>
      <c r="M27" s="21"/>
      <c r="N27" s="21"/>
      <c r="O27" s="21"/>
      <c r="P27" s="21"/>
      <c r="Q27" s="8"/>
      <c r="R27" s="8"/>
      <c r="S27" s="8"/>
      <c r="T27" s="8"/>
      <c r="U27" s="8"/>
      <c r="V27" s="8"/>
      <c r="W27" s="8"/>
      <c r="X27" s="8"/>
      <c r="Y27" s="8"/>
      <c r="Z27" s="8"/>
      <c r="AA27" s="8"/>
      <c r="AB27" s="8"/>
      <c r="AC27" s="8"/>
    </row>
    <row r="28" spans="1:29" s="1" customFormat="1" x14ac:dyDescent="0.3">
      <c r="A28" s="25" t="s">
        <v>31</v>
      </c>
      <c r="B28" s="27">
        <f t="shared" ref="B28:J28" si="4">B27/B7</f>
        <v>7.2553145178843505E-3</v>
      </c>
      <c r="C28" s="27">
        <f t="shared" si="4"/>
        <v>1.8945212493599591E-2</v>
      </c>
      <c r="D28" s="27">
        <f t="shared" si="4"/>
        <v>3.7698281011482045E-2</v>
      </c>
      <c r="E28" s="27">
        <f t="shared" si="4"/>
        <v>5.6504854368932038E-2</v>
      </c>
      <c r="F28" s="27">
        <f t="shared" si="4"/>
        <v>-0.37226596675415574</v>
      </c>
      <c r="G28" s="27">
        <f t="shared" si="4"/>
        <v>-0.13565360372704852</v>
      </c>
      <c r="H28" s="27">
        <f t="shared" si="4"/>
        <v>3.979197856748877E-2</v>
      </c>
      <c r="I28" s="27">
        <f t="shared" si="4"/>
        <v>8.3392822376533199E-2</v>
      </c>
      <c r="J28" s="27">
        <f t="shared" si="4"/>
        <v>0.1358695652173913</v>
      </c>
      <c r="K28" s="27">
        <f>K27/K7</f>
        <v>0.16301909367366268</v>
      </c>
      <c r="L28" s="28"/>
      <c r="M28" s="28"/>
      <c r="N28" s="28"/>
      <c r="O28" s="28"/>
      <c r="P28" s="28"/>
      <c r="Q28" s="25"/>
      <c r="R28" s="25"/>
      <c r="S28" s="25"/>
      <c r="T28" s="25"/>
      <c r="U28" s="25"/>
      <c r="V28" s="25"/>
      <c r="W28" s="25"/>
      <c r="X28" s="25"/>
      <c r="Y28" s="25"/>
      <c r="Z28" s="25"/>
      <c r="AA28" s="25"/>
      <c r="AB28" s="25"/>
      <c r="AC28" s="25"/>
    </row>
    <row r="29" spans="1:29" x14ac:dyDescent="0.3">
      <c r="A29" s="8"/>
      <c r="B29" s="20"/>
      <c r="C29" s="20"/>
      <c r="D29" s="20"/>
      <c r="E29" s="20"/>
      <c r="F29" s="20"/>
      <c r="G29" s="20"/>
      <c r="H29" s="20"/>
      <c r="I29" s="20"/>
      <c r="J29" s="20"/>
      <c r="K29" s="20"/>
      <c r="L29" s="21"/>
      <c r="M29" s="21"/>
      <c r="N29" s="21"/>
      <c r="O29" s="21"/>
      <c r="P29" s="21"/>
      <c r="Q29" s="8"/>
      <c r="R29" s="8"/>
      <c r="S29" s="8"/>
      <c r="T29" s="8"/>
      <c r="U29" s="8"/>
      <c r="V29" s="8"/>
      <c r="W29" s="8"/>
      <c r="X29" s="8"/>
      <c r="Y29" s="8"/>
      <c r="Z29" s="8"/>
      <c r="AA29" s="8"/>
      <c r="AB29" s="8"/>
      <c r="AC29" s="8"/>
    </row>
    <row r="30" spans="1:29" x14ac:dyDescent="0.3">
      <c r="A30" s="74" t="s">
        <v>32</v>
      </c>
      <c r="B30" s="76"/>
      <c r="C30" s="76"/>
      <c r="D30" s="76"/>
      <c r="E30" s="76"/>
      <c r="F30" s="76"/>
      <c r="G30" s="76"/>
      <c r="H30" s="76"/>
      <c r="I30" s="76"/>
      <c r="J30" s="76"/>
      <c r="K30" s="76"/>
      <c r="L30" s="76"/>
      <c r="M30" s="76"/>
      <c r="N30" s="76"/>
      <c r="O30" s="76"/>
      <c r="P30" s="76"/>
      <c r="Q30" s="8"/>
      <c r="R30" s="8"/>
      <c r="S30" s="8"/>
      <c r="T30" s="8"/>
      <c r="U30" s="8"/>
      <c r="V30" s="8"/>
      <c r="W30" s="8"/>
      <c r="X30" s="8"/>
      <c r="Y30" s="8"/>
      <c r="Z30" s="8"/>
      <c r="AA30" s="8"/>
      <c r="AB30" s="8"/>
      <c r="AC30" s="8"/>
    </row>
    <row r="31" spans="1:29" x14ac:dyDescent="0.3">
      <c r="A31" s="6" t="s">
        <v>95</v>
      </c>
      <c r="B31" s="22">
        <v>2771</v>
      </c>
      <c r="C31" s="22">
        <v>2953</v>
      </c>
      <c r="D31" s="22">
        <v>4974</v>
      </c>
      <c r="E31" s="22">
        <v>4443</v>
      </c>
      <c r="F31" s="22">
        <v>3452</v>
      </c>
      <c r="G31" s="22">
        <v>2621</v>
      </c>
      <c r="H31" s="22">
        <v>2607</v>
      </c>
      <c r="I31" s="22">
        <v>3784</v>
      </c>
      <c r="J31" s="24">
        <f>Raw_Data!$AK$12</f>
        <v>5575</v>
      </c>
      <c r="K31" s="24">
        <f>Raw_Data!$AJ$12</f>
        <v>6244</v>
      </c>
      <c r="L31" s="21"/>
      <c r="M31" s="21"/>
      <c r="N31" s="21"/>
      <c r="O31" s="21"/>
      <c r="P31" s="21"/>
      <c r="Q31" s="8"/>
      <c r="R31" s="8"/>
      <c r="S31" s="8"/>
      <c r="T31" s="8"/>
      <c r="U31" s="8"/>
      <c r="V31" s="8"/>
      <c r="W31" s="8"/>
      <c r="X31" s="8"/>
      <c r="Y31" s="8"/>
      <c r="Z31" s="8"/>
      <c r="AA31" s="8"/>
      <c r="AB31" s="8"/>
      <c r="AC31" s="8"/>
    </row>
    <row r="32" spans="1:29" x14ac:dyDescent="0.3">
      <c r="A32" s="6" t="s">
        <v>96</v>
      </c>
      <c r="B32" s="22">
        <v>3357</v>
      </c>
      <c r="C32" s="22">
        <v>3488</v>
      </c>
      <c r="D32" s="22">
        <v>4411</v>
      </c>
      <c r="E32" s="22">
        <v>3331</v>
      </c>
      <c r="F32" s="22">
        <v>5280</v>
      </c>
      <c r="G32" s="22">
        <v>6032</v>
      </c>
      <c r="H32" s="22">
        <v>4108</v>
      </c>
      <c r="I32" s="22">
        <v>4046</v>
      </c>
      <c r="J32" s="22">
        <v>3575</v>
      </c>
      <c r="K32" s="22">
        <v>2799</v>
      </c>
      <c r="L32" s="21"/>
      <c r="M32" s="21"/>
      <c r="N32" s="21"/>
      <c r="O32" s="21"/>
      <c r="P32" s="21"/>
      <c r="Q32" s="8"/>
      <c r="R32" s="8"/>
      <c r="S32" s="8"/>
      <c r="T32" s="8"/>
      <c r="U32" s="8"/>
      <c r="V32" s="8"/>
      <c r="W32" s="8"/>
      <c r="X32" s="8"/>
      <c r="Y32" s="8"/>
      <c r="Z32" s="8"/>
      <c r="AA32" s="8"/>
      <c r="AB32" s="8"/>
      <c r="AC32" s="8"/>
    </row>
    <row r="33" spans="1:29" x14ac:dyDescent="0.3">
      <c r="A33" s="6" t="s">
        <v>34</v>
      </c>
      <c r="B33" s="22">
        <v>225</v>
      </c>
      <c r="C33" s="22">
        <v>305</v>
      </c>
      <c r="D33" s="22">
        <v>-611</v>
      </c>
      <c r="E33" s="22">
        <v>993</v>
      </c>
      <c r="F33" s="22">
        <v>3576</v>
      </c>
      <c r="G33" s="22">
        <v>5157</v>
      </c>
      <c r="H33" s="22">
        <v>3251</v>
      </c>
      <c r="I33" s="22">
        <v>1952</v>
      </c>
      <c r="J33" s="22">
        <v>-475</v>
      </c>
      <c r="K33" s="22">
        <v>-1895</v>
      </c>
      <c r="L33" s="21"/>
      <c r="M33" s="21"/>
      <c r="N33" s="21"/>
      <c r="O33" s="21"/>
      <c r="P33" s="21"/>
      <c r="Q33" s="8"/>
      <c r="R33" s="8"/>
      <c r="S33" s="8"/>
      <c r="T33" s="8"/>
      <c r="U33" s="8"/>
      <c r="V33" s="8"/>
      <c r="W33" s="8"/>
      <c r="X33" s="8"/>
      <c r="Y33" s="8"/>
      <c r="Z33" s="8"/>
      <c r="AA33" s="8"/>
      <c r="AB33" s="8"/>
      <c r="AC33" s="8"/>
    </row>
    <row r="34" spans="1:29" x14ac:dyDescent="0.3">
      <c r="A34" s="6" t="s">
        <v>88</v>
      </c>
      <c r="B34" s="22">
        <v>1832</v>
      </c>
      <c r="C34" s="22">
        <v>1840</v>
      </c>
      <c r="D34" s="22">
        <v>1859</v>
      </c>
      <c r="E34" s="22">
        <v>1904</v>
      </c>
      <c r="F34" s="22">
        <v>5985</v>
      </c>
      <c r="G34" s="22">
        <v>8352</v>
      </c>
      <c r="H34" s="22">
        <v>8332</v>
      </c>
      <c r="I34" s="22">
        <v>8405</v>
      </c>
      <c r="J34" s="22">
        <v>8439</v>
      </c>
      <c r="K34" s="22">
        <v>8448</v>
      </c>
      <c r="L34" s="21"/>
      <c r="M34" s="21"/>
      <c r="N34" s="21"/>
      <c r="O34" s="21"/>
      <c r="P34" s="21"/>
      <c r="Q34" s="8"/>
      <c r="R34" s="8"/>
      <c r="S34" s="8"/>
      <c r="T34" s="8"/>
      <c r="U34" s="8"/>
      <c r="V34" s="8"/>
      <c r="W34" s="8"/>
      <c r="X34" s="8"/>
      <c r="Y34" s="8"/>
      <c r="Z34" s="8"/>
      <c r="AA34" s="8"/>
      <c r="AB34" s="8"/>
      <c r="AC34" s="8"/>
    </row>
    <row r="35" spans="1:29" x14ac:dyDescent="0.3">
      <c r="A35" s="8"/>
      <c r="B35" s="20"/>
      <c r="C35" s="20"/>
      <c r="D35" s="20"/>
      <c r="E35" s="20"/>
      <c r="F35" s="20"/>
      <c r="G35" s="20"/>
      <c r="H35" s="20"/>
      <c r="I35" s="20"/>
      <c r="J35" s="20"/>
      <c r="K35" s="20"/>
      <c r="L35" s="21"/>
      <c r="M35" s="21"/>
      <c r="N35" s="21"/>
      <c r="O35" s="21"/>
      <c r="P35" s="21"/>
      <c r="Q35" s="8"/>
      <c r="R35" s="8"/>
      <c r="S35" s="8"/>
      <c r="T35" s="8"/>
      <c r="U35" s="8"/>
      <c r="V35" s="8"/>
      <c r="W35" s="8"/>
      <c r="X35" s="8"/>
      <c r="Y35" s="8"/>
      <c r="Z35" s="8"/>
      <c r="AA35" s="8"/>
      <c r="AB35" s="8"/>
      <c r="AC35" s="29"/>
    </row>
    <row r="36" spans="1:29" x14ac:dyDescent="0.3">
      <c r="A36" s="74" t="s">
        <v>36</v>
      </c>
      <c r="B36" s="76"/>
      <c r="C36" s="76"/>
      <c r="D36" s="76"/>
      <c r="E36" s="76"/>
      <c r="F36" s="76"/>
      <c r="G36" s="76"/>
      <c r="H36" s="76"/>
      <c r="I36" s="76"/>
      <c r="J36" s="76"/>
      <c r="K36" s="76"/>
      <c r="L36" s="76"/>
      <c r="M36" s="76"/>
      <c r="N36" s="76"/>
      <c r="O36" s="76"/>
      <c r="P36" s="76"/>
      <c r="Q36" s="8"/>
      <c r="R36" s="8"/>
      <c r="S36" s="8"/>
      <c r="T36" s="8"/>
      <c r="U36" s="8"/>
      <c r="V36" s="8"/>
      <c r="W36" s="8"/>
      <c r="X36" s="8"/>
      <c r="Y36" s="8"/>
      <c r="Z36" s="8"/>
      <c r="AA36" s="8"/>
      <c r="AB36" s="8"/>
      <c r="AC36" s="8"/>
    </row>
    <row r="37" spans="1:29" x14ac:dyDescent="0.3">
      <c r="A37" s="6" t="s">
        <v>37</v>
      </c>
      <c r="B37" s="22">
        <v>7067</v>
      </c>
      <c r="C37" s="22">
        <v>6598</v>
      </c>
      <c r="D37" s="22">
        <v>7378</v>
      </c>
      <c r="E37" s="22">
        <v>8107</v>
      </c>
      <c r="F37" s="22">
        <v>5068</v>
      </c>
      <c r="G37" s="22">
        <v>4536</v>
      </c>
      <c r="H37" s="22">
        <v>5686</v>
      </c>
      <c r="I37" s="22">
        <v>7348</v>
      </c>
      <c r="J37" s="22">
        <v>9040</v>
      </c>
      <c r="K37" s="22">
        <v>10382</v>
      </c>
      <c r="L37" s="21"/>
      <c r="M37" s="21"/>
      <c r="N37" s="21"/>
      <c r="O37" s="21"/>
      <c r="P37" s="21"/>
      <c r="Q37" s="8"/>
      <c r="R37" s="8"/>
      <c r="S37" s="8"/>
      <c r="T37" s="8"/>
      <c r="U37" s="8"/>
      <c r="V37" s="8"/>
      <c r="W37" s="8"/>
      <c r="X37" s="8"/>
      <c r="Y37" s="8"/>
      <c r="Z37" s="8"/>
      <c r="AA37" s="8"/>
      <c r="AB37" s="8"/>
      <c r="AC37" s="8"/>
    </row>
    <row r="38" spans="1:29" x14ac:dyDescent="0.3">
      <c r="A38" s="6" t="s">
        <v>38</v>
      </c>
      <c r="B38" s="22">
        <v>2209</v>
      </c>
      <c r="C38" s="22">
        <v>3180</v>
      </c>
      <c r="D38" s="22">
        <v>3124</v>
      </c>
      <c r="E38" s="22">
        <v>3250</v>
      </c>
      <c r="F38" s="22">
        <v>3355</v>
      </c>
      <c r="G38" s="22">
        <v>3368</v>
      </c>
      <c r="H38" s="22">
        <v>3660</v>
      </c>
      <c r="I38" s="22">
        <v>4077</v>
      </c>
      <c r="J38" s="22">
        <v>4522</v>
      </c>
      <c r="K38" s="22">
        <v>4772</v>
      </c>
      <c r="L38" s="21"/>
      <c r="M38" s="21"/>
      <c r="N38" s="21"/>
      <c r="O38" s="21"/>
      <c r="P38" s="21"/>
      <c r="Q38" s="8"/>
      <c r="R38" s="8"/>
      <c r="S38" s="8"/>
      <c r="T38" s="8"/>
      <c r="U38" s="8"/>
      <c r="V38" s="8"/>
      <c r="W38" s="8"/>
      <c r="X38" s="8"/>
      <c r="Y38" s="8"/>
      <c r="Z38" s="8"/>
      <c r="AA38" s="8"/>
      <c r="AB38" s="8"/>
      <c r="AC38" s="8"/>
    </row>
    <row r="39" spans="1:29" x14ac:dyDescent="0.3">
      <c r="A39" s="6" t="s">
        <v>39</v>
      </c>
      <c r="B39" s="22">
        <v>2655</v>
      </c>
      <c r="C39" s="22">
        <v>3008</v>
      </c>
      <c r="D39" s="22">
        <v>3434</v>
      </c>
      <c r="E39" s="22">
        <v>3545</v>
      </c>
      <c r="F39" s="22">
        <v>2735</v>
      </c>
      <c r="G39" s="22">
        <v>2749</v>
      </c>
      <c r="H39" s="22">
        <v>3347</v>
      </c>
      <c r="I39" s="22">
        <v>3968</v>
      </c>
      <c r="J39" s="22">
        <v>4271</v>
      </c>
      <c r="K39" s="22">
        <v>4892</v>
      </c>
      <c r="L39" s="21"/>
      <c r="M39" s="21"/>
      <c r="N39" s="21"/>
      <c r="O39" s="21"/>
      <c r="P39" s="21"/>
      <c r="Q39" s="8"/>
      <c r="R39" s="8"/>
      <c r="S39" s="8"/>
      <c r="T39" s="8"/>
      <c r="U39" s="8"/>
      <c r="V39" s="8"/>
      <c r="W39" s="8"/>
      <c r="X39" s="8"/>
      <c r="Y39" s="8"/>
      <c r="Z39" s="8"/>
      <c r="AA39" s="8"/>
      <c r="AB39" s="8"/>
      <c r="AC39" s="8"/>
    </row>
    <row r="40" spans="1:29" x14ac:dyDescent="0.3">
      <c r="A40" s="6" t="s">
        <v>92</v>
      </c>
      <c r="B40" s="30">
        <f xml:space="preserve"> B42-SUM(B37:B39)-B41</f>
        <v>1928</v>
      </c>
      <c r="C40" s="30">
        <f t="shared" ref="C40:K40" si="5" xml:space="preserve"> C42-SUM(C37:C39)-C41</f>
        <v>885</v>
      </c>
      <c r="D40" s="30">
        <f t="shared" si="5"/>
        <v>1560</v>
      </c>
      <c r="E40" s="30">
        <f t="shared" si="5"/>
        <v>1125</v>
      </c>
      <c r="F40" s="30">
        <f t="shared" si="5"/>
        <v>278</v>
      </c>
      <c r="G40" s="30">
        <f t="shared" si="5"/>
        <v>305</v>
      </c>
      <c r="H40" s="30">
        <f t="shared" si="5"/>
        <v>3</v>
      </c>
      <c r="I40" s="30">
        <f t="shared" si="5"/>
        <v>16</v>
      </c>
      <c r="J40" s="30">
        <f t="shared" si="5"/>
        <v>15</v>
      </c>
      <c r="K40" s="30">
        <f t="shared" si="5"/>
        <v>13</v>
      </c>
      <c r="L40" s="21"/>
      <c r="M40" s="21"/>
      <c r="N40" s="21"/>
      <c r="O40" s="21"/>
      <c r="P40" s="21"/>
      <c r="Q40" s="8"/>
      <c r="R40" s="8"/>
      <c r="S40" s="8"/>
      <c r="T40" s="8"/>
      <c r="U40" s="8"/>
      <c r="V40" s="8"/>
      <c r="W40" s="8"/>
      <c r="X40" s="8"/>
      <c r="Y40" s="8"/>
      <c r="Z40" s="8"/>
      <c r="AA40" s="8"/>
      <c r="AB40" s="8"/>
      <c r="AC40" s="8"/>
    </row>
    <row r="41" spans="1:29" x14ac:dyDescent="0.3">
      <c r="A41" s="6" t="s">
        <v>40</v>
      </c>
      <c r="B41" s="22">
        <v>-76</v>
      </c>
      <c r="C41" s="22">
        <v>0</v>
      </c>
      <c r="D41" s="22">
        <v>-429</v>
      </c>
      <c r="E41" s="22">
        <v>-577</v>
      </c>
      <c r="F41" s="22">
        <v>-6</v>
      </c>
      <c r="G41" s="22">
        <v>-11</v>
      </c>
      <c r="H41" s="22">
        <v>-5</v>
      </c>
      <c r="I41" s="22">
        <v>0</v>
      </c>
      <c r="J41" s="22">
        <v>0</v>
      </c>
      <c r="K41" s="22">
        <v>0</v>
      </c>
      <c r="L41" s="21"/>
      <c r="M41" s="21"/>
      <c r="N41" s="21"/>
      <c r="O41" s="21"/>
      <c r="P41" s="21"/>
      <c r="Q41" s="8"/>
      <c r="R41" s="8"/>
      <c r="S41" s="8"/>
      <c r="T41" s="8"/>
      <c r="U41" s="8"/>
      <c r="V41" s="8"/>
      <c r="W41" s="8"/>
      <c r="X41" s="8"/>
      <c r="Y41" s="8"/>
      <c r="Z41" s="8"/>
      <c r="AA41" s="8"/>
      <c r="AB41" s="8"/>
      <c r="AC41" s="8"/>
    </row>
    <row r="42" spans="1:29" x14ac:dyDescent="0.3">
      <c r="A42" s="6" t="s">
        <v>41</v>
      </c>
      <c r="B42" s="30">
        <f>B7</f>
        <v>13783</v>
      </c>
      <c r="C42" s="30">
        <f t="shared" ref="C42:K42" si="6">C7</f>
        <v>13671</v>
      </c>
      <c r="D42" s="30">
        <f t="shared" si="6"/>
        <v>15067</v>
      </c>
      <c r="E42" s="30">
        <f t="shared" si="6"/>
        <v>15450</v>
      </c>
      <c r="F42" s="30">
        <f t="shared" si="6"/>
        <v>11430</v>
      </c>
      <c r="G42" s="30">
        <f t="shared" si="6"/>
        <v>10947</v>
      </c>
      <c r="H42" s="30">
        <f t="shared" si="6"/>
        <v>12691</v>
      </c>
      <c r="I42" s="30">
        <f t="shared" si="6"/>
        <v>15409</v>
      </c>
      <c r="J42" s="30">
        <f t="shared" si="6"/>
        <v>17848</v>
      </c>
      <c r="K42" s="30">
        <f t="shared" si="6"/>
        <v>20059</v>
      </c>
      <c r="L42" s="21"/>
      <c r="M42" s="21"/>
      <c r="N42" s="21"/>
      <c r="O42" s="21"/>
      <c r="P42" s="21"/>
      <c r="Q42" s="8"/>
      <c r="R42" s="8"/>
      <c r="S42" s="8"/>
      <c r="T42" s="8"/>
      <c r="U42" s="8"/>
      <c r="V42" s="8"/>
      <c r="W42" s="8"/>
      <c r="X42" s="8"/>
      <c r="Y42" s="8"/>
      <c r="Z42" s="8"/>
      <c r="AA42" s="8"/>
      <c r="AB42" s="8"/>
      <c r="AC42" s="8"/>
    </row>
    <row r="43" spans="1:29" x14ac:dyDescent="0.3">
      <c r="A43" s="6" t="s">
        <v>97</v>
      </c>
      <c r="B43" s="30">
        <f>B42-SUM(B37:B41)</f>
        <v>0</v>
      </c>
      <c r="C43" s="30">
        <f t="shared" ref="C43:K43" si="7">C42-SUM(C37:C41)</f>
        <v>0</v>
      </c>
      <c r="D43" s="30">
        <f t="shared" si="7"/>
        <v>0</v>
      </c>
      <c r="E43" s="30">
        <f t="shared" si="7"/>
        <v>0</v>
      </c>
      <c r="F43" s="30">
        <f t="shared" si="7"/>
        <v>0</v>
      </c>
      <c r="G43" s="30">
        <f t="shared" si="7"/>
        <v>0</v>
      </c>
      <c r="H43" s="30">
        <f t="shared" si="7"/>
        <v>0</v>
      </c>
      <c r="I43" s="30">
        <f t="shared" si="7"/>
        <v>0</v>
      </c>
      <c r="J43" s="30">
        <f t="shared" si="7"/>
        <v>0</v>
      </c>
      <c r="K43" s="30">
        <f t="shared" si="7"/>
        <v>0</v>
      </c>
      <c r="L43" s="21"/>
      <c r="M43" s="21"/>
      <c r="N43" s="21"/>
      <c r="O43" s="21"/>
      <c r="P43" s="21"/>
      <c r="Q43" s="8"/>
      <c r="R43" s="8"/>
      <c r="S43" s="8"/>
      <c r="T43" s="8"/>
      <c r="U43" s="8"/>
      <c r="V43" s="8"/>
      <c r="W43" s="8"/>
      <c r="X43" s="8"/>
      <c r="Y43" s="8"/>
      <c r="Z43" s="8"/>
      <c r="AA43" s="8"/>
      <c r="AB43" s="8"/>
      <c r="AC43" s="8"/>
    </row>
    <row r="44" spans="1:29" x14ac:dyDescent="0.3">
      <c r="A44" s="8"/>
      <c r="B44" s="20"/>
      <c r="C44" s="20"/>
      <c r="D44" s="20"/>
      <c r="E44" s="20"/>
      <c r="F44" s="20"/>
      <c r="G44" s="20"/>
      <c r="H44" s="20"/>
      <c r="I44" s="20"/>
      <c r="J44" s="20"/>
      <c r="K44" s="20"/>
      <c r="L44" s="21"/>
      <c r="M44" s="21"/>
      <c r="N44" s="21"/>
      <c r="O44" s="21"/>
      <c r="P44" s="21"/>
      <c r="Q44" s="8"/>
      <c r="R44" s="8"/>
      <c r="S44" s="8"/>
      <c r="T44" s="8"/>
      <c r="U44" s="8"/>
      <c r="V44" s="8"/>
      <c r="W44" s="8"/>
      <c r="X44" s="8"/>
      <c r="Y44" s="8"/>
      <c r="Z44" s="8"/>
      <c r="AA44" s="8"/>
      <c r="AB44" s="8"/>
      <c r="AC44" s="8"/>
    </row>
    <row r="45" spans="1:29" x14ac:dyDescent="0.3">
      <c r="A45" s="74" t="s">
        <v>42</v>
      </c>
      <c r="B45" s="76"/>
      <c r="C45" s="76"/>
      <c r="D45" s="76"/>
      <c r="E45" s="76"/>
      <c r="F45" s="76"/>
      <c r="G45" s="76"/>
      <c r="H45" s="76"/>
      <c r="I45" s="76"/>
      <c r="J45" s="76"/>
      <c r="K45" s="76"/>
      <c r="L45" s="76"/>
      <c r="M45" s="76"/>
      <c r="N45" s="76"/>
      <c r="O45" s="76"/>
      <c r="P45" s="76"/>
      <c r="Q45" s="8"/>
      <c r="R45" s="8"/>
      <c r="S45" s="8"/>
      <c r="T45" s="8"/>
      <c r="U45" s="8"/>
      <c r="V45" s="8"/>
      <c r="W45" s="8"/>
      <c r="X45" s="8"/>
      <c r="Y45" s="8"/>
      <c r="Z45" s="8"/>
      <c r="AA45" s="8"/>
      <c r="AB45" s="8"/>
      <c r="AC45" s="8"/>
    </row>
    <row r="46" spans="1:29" x14ac:dyDescent="0.3">
      <c r="A46" s="6" t="s">
        <v>43</v>
      </c>
      <c r="B46" s="22">
        <v>367</v>
      </c>
      <c r="C46" s="22">
        <v>-343</v>
      </c>
      <c r="D46" s="22">
        <v>-162</v>
      </c>
      <c r="E46" s="22">
        <v>44</v>
      </c>
      <c r="F46" s="22">
        <v>-2535</v>
      </c>
      <c r="G46" s="22">
        <v>-172</v>
      </c>
      <c r="H46" s="22">
        <v>143</v>
      </c>
      <c r="I46" s="22">
        <v>850</v>
      </c>
      <c r="J46" s="22">
        <v>1505</v>
      </c>
      <c r="K46" s="22">
        <v>2130</v>
      </c>
      <c r="L46" s="21"/>
      <c r="M46" s="21"/>
      <c r="N46" s="21"/>
      <c r="O46" s="21"/>
      <c r="P46" s="21"/>
      <c r="Q46" s="8"/>
      <c r="R46" s="8"/>
      <c r="S46" s="8"/>
      <c r="T46" s="8"/>
      <c r="U46" s="8"/>
      <c r="V46" s="8"/>
      <c r="W46" s="8"/>
      <c r="X46" s="8"/>
      <c r="Y46" s="8"/>
      <c r="Z46" s="8"/>
      <c r="AA46" s="8"/>
      <c r="AB46" s="8"/>
      <c r="AC46" s="8"/>
    </row>
    <row r="47" spans="1:29" s="2" customFormat="1" x14ac:dyDescent="0.3">
      <c r="A47" s="7" t="s">
        <v>44</v>
      </c>
      <c r="B47" s="31">
        <f t="shared" ref="B47:J47" si="8">B46/B37</f>
        <v>5.1931512664496957E-2</v>
      </c>
      <c r="C47" s="31">
        <f t="shared" si="8"/>
        <v>-5.1985450136404973E-2</v>
      </c>
      <c r="D47" s="31">
        <f t="shared" si="8"/>
        <v>-2.1957169964760097E-2</v>
      </c>
      <c r="E47" s="31">
        <f t="shared" si="8"/>
        <v>5.4274084124830389E-3</v>
      </c>
      <c r="F47" s="31">
        <f t="shared" si="8"/>
        <v>-0.50019731649565902</v>
      </c>
      <c r="G47" s="31">
        <f t="shared" si="8"/>
        <v>-3.7918871252204583E-2</v>
      </c>
      <c r="H47" s="31">
        <f t="shared" si="8"/>
        <v>2.5149489975378123E-2</v>
      </c>
      <c r="I47" s="31">
        <f t="shared" si="8"/>
        <v>0.11567773543821448</v>
      </c>
      <c r="J47" s="31">
        <f t="shared" si="8"/>
        <v>0.16648230088495575</v>
      </c>
      <c r="K47" s="31">
        <f>K46/K37</f>
        <v>0.20516278173762281</v>
      </c>
      <c r="L47" s="32"/>
      <c r="M47" s="32"/>
      <c r="N47" s="32"/>
      <c r="O47" s="32"/>
      <c r="P47" s="32"/>
      <c r="Q47" s="7"/>
      <c r="R47" s="7"/>
      <c r="S47" s="7"/>
      <c r="T47" s="7"/>
      <c r="U47" s="7"/>
      <c r="V47" s="7"/>
      <c r="W47" s="7"/>
      <c r="X47" s="7"/>
      <c r="Y47" s="7"/>
      <c r="Z47" s="7"/>
      <c r="AA47" s="7"/>
      <c r="AB47" s="7"/>
      <c r="AC47" s="7"/>
    </row>
    <row r="48" spans="1:29" s="1" customFormat="1" x14ac:dyDescent="0.3">
      <c r="A48" s="25" t="s">
        <v>45</v>
      </c>
      <c r="B48" s="33">
        <v>384</v>
      </c>
      <c r="C48" s="33">
        <v>454</v>
      </c>
      <c r="D48" s="33">
        <v>427</v>
      </c>
      <c r="E48" s="33">
        <v>415</v>
      </c>
      <c r="F48" s="33">
        <v>461</v>
      </c>
      <c r="G48" s="33">
        <v>457</v>
      </c>
      <c r="H48" s="33">
        <v>432</v>
      </c>
      <c r="I48" s="33">
        <v>562</v>
      </c>
      <c r="J48" s="33">
        <v>644</v>
      </c>
      <c r="K48" s="33">
        <v>689</v>
      </c>
      <c r="L48" s="34"/>
      <c r="M48" s="34"/>
      <c r="N48" s="34"/>
      <c r="O48" s="34"/>
      <c r="P48" s="34"/>
      <c r="Q48" s="25"/>
      <c r="R48" s="25"/>
      <c r="S48" s="25"/>
      <c r="T48" s="25"/>
      <c r="U48" s="25"/>
      <c r="V48" s="25"/>
      <c r="W48" s="25"/>
      <c r="X48" s="25"/>
      <c r="Y48" s="25"/>
      <c r="Z48" s="25"/>
      <c r="AA48" s="25"/>
      <c r="AB48" s="25"/>
      <c r="AC48" s="25"/>
    </row>
    <row r="49" spans="1:29" s="2" customFormat="1" x14ac:dyDescent="0.3">
      <c r="A49" s="7" t="s">
        <v>46</v>
      </c>
      <c r="B49" s="31">
        <f t="shared" ref="B49:J49" si="9">B48/B38</f>
        <v>0.17383431416930739</v>
      </c>
      <c r="C49" s="31">
        <f t="shared" si="9"/>
        <v>0.14276729559748427</v>
      </c>
      <c r="D49" s="31">
        <f t="shared" si="9"/>
        <v>0.13668373879641485</v>
      </c>
      <c r="E49" s="31">
        <f t="shared" si="9"/>
        <v>0.12769230769230769</v>
      </c>
      <c r="F49" s="31">
        <f t="shared" si="9"/>
        <v>0.13740685543964232</v>
      </c>
      <c r="G49" s="31">
        <f t="shared" si="9"/>
        <v>0.13568883610451307</v>
      </c>
      <c r="H49" s="31">
        <f t="shared" si="9"/>
        <v>0.11803278688524591</v>
      </c>
      <c r="I49" s="31">
        <f t="shared" si="9"/>
        <v>0.13784645572725043</v>
      </c>
      <c r="J49" s="31">
        <f t="shared" si="9"/>
        <v>0.14241486068111456</v>
      </c>
      <c r="K49" s="31">
        <f>K48/K38</f>
        <v>0.14438390611902766</v>
      </c>
      <c r="L49" s="32"/>
      <c r="M49" s="32"/>
      <c r="N49" s="32"/>
      <c r="O49" s="32"/>
      <c r="P49" s="32"/>
      <c r="Q49" s="7"/>
      <c r="R49" s="7"/>
      <c r="S49" s="7"/>
      <c r="T49" s="7"/>
      <c r="U49" s="7"/>
      <c r="V49" s="7"/>
      <c r="W49" s="7"/>
      <c r="X49" s="7"/>
      <c r="Y49" s="7"/>
      <c r="Z49" s="7"/>
      <c r="AA49" s="7"/>
      <c r="AB49" s="7"/>
      <c r="AC49" s="7"/>
    </row>
    <row r="50" spans="1:29" s="1" customFormat="1" x14ac:dyDescent="0.3">
      <c r="A50" s="25" t="s">
        <v>47</v>
      </c>
      <c r="B50" s="33">
        <v>191</v>
      </c>
      <c r="C50" s="33">
        <v>261</v>
      </c>
      <c r="D50" s="33">
        <v>315</v>
      </c>
      <c r="E50" s="33">
        <v>367</v>
      </c>
      <c r="F50" s="33">
        <v>188</v>
      </c>
      <c r="G50" s="33">
        <v>242</v>
      </c>
      <c r="H50" s="33">
        <v>281</v>
      </c>
      <c r="I50" s="33">
        <v>413</v>
      </c>
      <c r="J50" s="33">
        <v>560</v>
      </c>
      <c r="K50" s="33">
        <v>852</v>
      </c>
      <c r="L50" s="34"/>
      <c r="M50" s="34"/>
      <c r="N50" s="34"/>
      <c r="O50" s="34"/>
      <c r="P50" s="34"/>
      <c r="Q50" s="25"/>
      <c r="R50" s="25"/>
      <c r="S50" s="25"/>
      <c r="T50" s="25"/>
      <c r="U50" s="25"/>
      <c r="V50" s="25"/>
      <c r="W50" s="25"/>
      <c r="X50" s="25"/>
      <c r="Y50" s="25"/>
      <c r="Z50" s="25"/>
      <c r="AA50" s="25"/>
      <c r="AB50" s="25"/>
      <c r="AC50" s="25"/>
    </row>
    <row r="51" spans="1:29" s="2" customFormat="1" x14ac:dyDescent="0.3">
      <c r="A51" s="7" t="s">
        <v>48</v>
      </c>
      <c r="B51" s="31">
        <f>B50/B39</f>
        <v>7.1939736346516014E-2</v>
      </c>
      <c r="C51" s="31">
        <f t="shared" ref="C51:J51" si="10">C50/C39</f>
        <v>8.6768617021276598E-2</v>
      </c>
      <c r="D51" s="31">
        <f t="shared" si="10"/>
        <v>9.1729761211415253E-2</v>
      </c>
      <c r="E51" s="31">
        <f t="shared" si="10"/>
        <v>0.10352609308885755</v>
      </c>
      <c r="F51" s="31">
        <f t="shared" si="10"/>
        <v>6.873857404021938E-2</v>
      </c>
      <c r="G51" s="31">
        <f t="shared" si="10"/>
        <v>8.8032011640596583E-2</v>
      </c>
      <c r="H51" s="31">
        <f t="shared" si="10"/>
        <v>8.3955781296683601E-2</v>
      </c>
      <c r="I51" s="31">
        <f t="shared" si="10"/>
        <v>0.10408266129032258</v>
      </c>
      <c r="J51" s="31">
        <f t="shared" si="10"/>
        <v>0.1311168344649965</v>
      </c>
      <c r="K51" s="31">
        <f>K50/K39</f>
        <v>0.17416189697465248</v>
      </c>
      <c r="L51" s="32"/>
      <c r="M51" s="32"/>
      <c r="N51" s="32"/>
      <c r="O51" s="32"/>
      <c r="P51" s="32"/>
      <c r="Q51" s="7"/>
      <c r="R51" s="7"/>
      <c r="S51" s="7"/>
      <c r="T51" s="7"/>
      <c r="U51" s="7"/>
      <c r="V51" s="7"/>
      <c r="W51" s="7"/>
      <c r="X51" s="7"/>
      <c r="Y51" s="7"/>
      <c r="Z51" s="7"/>
      <c r="AA51" s="7"/>
      <c r="AB51" s="7"/>
      <c r="AC51" s="7"/>
    </row>
    <row r="52" spans="1:29" s="1" customFormat="1" x14ac:dyDescent="0.3">
      <c r="A52" s="25" t="s">
        <v>93</v>
      </c>
      <c r="B52" s="35">
        <f>B10-B46-B48-B50</f>
        <v>-27</v>
      </c>
      <c r="C52" s="35">
        <f t="shared" ref="C52:K52" si="11">C10-C46-C48-C50</f>
        <v>-66</v>
      </c>
      <c r="D52" s="35">
        <f t="shared" si="11"/>
        <v>36</v>
      </c>
      <c r="E52" s="35">
        <f t="shared" si="11"/>
        <v>-18</v>
      </c>
      <c r="F52" s="35">
        <f t="shared" si="11"/>
        <v>-122</v>
      </c>
      <c r="G52" s="35">
        <f t="shared" si="11"/>
        <v>-113</v>
      </c>
      <c r="H52" s="35">
        <f t="shared" si="11"/>
        <v>-204</v>
      </c>
      <c r="I52" s="35">
        <f t="shared" si="11"/>
        <v>-235</v>
      </c>
      <c r="J52" s="35">
        <f t="shared" si="11"/>
        <v>-245</v>
      </c>
      <c r="K52" s="35">
        <f t="shared" si="11"/>
        <v>-209</v>
      </c>
      <c r="L52" s="25"/>
      <c r="M52" s="25"/>
      <c r="N52" s="25"/>
      <c r="O52" s="25"/>
      <c r="P52" s="25"/>
      <c r="Q52" s="25"/>
      <c r="R52" s="25"/>
      <c r="S52" s="25"/>
      <c r="T52" s="25"/>
      <c r="U52" s="25"/>
      <c r="V52" s="25"/>
      <c r="W52" s="25"/>
      <c r="X52" s="25"/>
      <c r="Y52" s="25"/>
      <c r="Z52" s="25"/>
      <c r="AA52" s="25"/>
      <c r="AB52" s="25"/>
      <c r="AC52" s="25"/>
    </row>
  </sheetData>
  <mergeCells count="2">
    <mergeCell ref="A1:O1"/>
    <mergeCell ref="A2:O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BA5AA-949E-43E6-BF1A-5D42AD6AB22A}">
  <sheetPr>
    <tabColor theme="3" tint="0.499984740745262"/>
  </sheetPr>
  <dimension ref="A1:K26"/>
  <sheetViews>
    <sheetView showGridLines="0" tabSelected="1" workbookViewId="0">
      <selection activeCell="L29" sqref="L29"/>
    </sheetView>
  </sheetViews>
  <sheetFormatPr defaultRowHeight="14.4" x14ac:dyDescent="0.3"/>
  <cols>
    <col min="1" max="1" width="38.77734375" customWidth="1"/>
    <col min="2" max="11" width="12.77734375" customWidth="1"/>
  </cols>
  <sheetData>
    <row r="1" spans="1:11" ht="21" x14ac:dyDescent="0.3">
      <c r="A1" s="72" t="s">
        <v>621</v>
      </c>
      <c r="B1" s="73"/>
      <c r="C1" s="73"/>
      <c r="D1" s="73"/>
      <c r="E1" s="73"/>
      <c r="F1" s="73"/>
      <c r="G1" s="73"/>
      <c r="H1" s="73"/>
      <c r="I1" s="73"/>
      <c r="J1" s="73"/>
      <c r="K1" s="73"/>
    </row>
    <row r="2" spans="1:11" x14ac:dyDescent="0.3">
      <c r="A2" s="6" t="s">
        <v>622</v>
      </c>
      <c r="B2" s="8"/>
      <c r="C2" s="8"/>
      <c r="D2" s="8"/>
      <c r="E2" s="8"/>
      <c r="F2" s="8"/>
      <c r="G2" s="8"/>
      <c r="H2" s="8"/>
      <c r="I2" s="8"/>
      <c r="J2" s="8"/>
      <c r="K2" s="8"/>
    </row>
    <row r="3" spans="1:11" x14ac:dyDescent="0.3">
      <c r="A3" s="8"/>
      <c r="B3" s="80" t="str">
        <f>Historical_FS!B4</f>
        <v>FY2016</v>
      </c>
      <c r="C3" s="80" t="str">
        <f>Historical_FS!C4</f>
        <v>FY2017</v>
      </c>
      <c r="D3" s="80" t="str">
        <f>Historical_FS!D4</f>
        <v>FY2018</v>
      </c>
      <c r="E3" s="80" t="str">
        <f>Historical_FS!E4</f>
        <v>FY2019</v>
      </c>
      <c r="F3" s="80" t="str">
        <f>Historical_FS!F4</f>
        <v>FY2020</v>
      </c>
      <c r="G3" s="80" t="str">
        <f>Historical_FS!G4</f>
        <v>FY2021</v>
      </c>
      <c r="H3" s="80" t="str">
        <f>Historical_FS!H4</f>
        <v>FY2022</v>
      </c>
      <c r="I3" s="80" t="str">
        <f>Historical_FS!I4</f>
        <v>FY2023</v>
      </c>
      <c r="J3" s="80" t="str">
        <f>Historical_FS!J4</f>
        <v>FY2024</v>
      </c>
      <c r="K3" s="80" t="str">
        <f>Historical_FS!K4</f>
        <v>FY2025</v>
      </c>
    </row>
    <row r="4" spans="1:11" x14ac:dyDescent="0.3">
      <c r="A4" s="8"/>
      <c r="B4" s="8"/>
      <c r="C4" s="8"/>
      <c r="D4" s="8"/>
      <c r="E4" s="8"/>
      <c r="F4" s="8"/>
      <c r="G4" s="8"/>
      <c r="H4" s="8"/>
      <c r="I4" s="8"/>
      <c r="J4" s="8"/>
      <c r="K4" s="8"/>
    </row>
    <row r="5" spans="1:11" x14ac:dyDescent="0.3">
      <c r="A5" s="74" t="s">
        <v>623</v>
      </c>
      <c r="B5" s="75"/>
      <c r="C5" s="75"/>
      <c r="D5" s="75"/>
      <c r="E5" s="75"/>
      <c r="F5" s="75"/>
      <c r="G5" s="75"/>
      <c r="H5" s="75"/>
      <c r="I5" s="75"/>
      <c r="J5" s="75"/>
      <c r="K5" s="75"/>
    </row>
    <row r="6" spans="1:11" x14ac:dyDescent="0.3">
      <c r="A6" s="6" t="s">
        <v>624</v>
      </c>
      <c r="B6" s="9">
        <f>Historical_FS!B9</f>
        <v>0</v>
      </c>
      <c r="C6" s="9" t="str">
        <f>Historical_FS!C9</f>
        <v>N/M</v>
      </c>
      <c r="D6" s="9">
        <f>Historical_FS!D9</f>
        <v>0.10211396386511584</v>
      </c>
      <c r="E6" s="9">
        <f>Historical_FS!E9</f>
        <v>2.5419791597530939E-2</v>
      </c>
      <c r="F6" s="9">
        <f>Historical_FS!F9</f>
        <v>-0.26019417475728157</v>
      </c>
      <c r="G6" s="9">
        <f>Historical_FS!G9</f>
        <v>-4.2257217847769035E-2</v>
      </c>
      <c r="H6" s="9">
        <f>Historical_FS!H9</f>
        <v>0.1593130538046954</v>
      </c>
      <c r="I6" s="9">
        <f>Historical_FS!I9</f>
        <v>0.21416752028996933</v>
      </c>
      <c r="J6" s="9">
        <f>Historical_FS!J9</f>
        <v>0.15828411967032263</v>
      </c>
      <c r="K6" s="9">
        <f>Historical_FS!K9</f>
        <v>0.12387942626624837</v>
      </c>
    </row>
    <row r="7" spans="1:11" x14ac:dyDescent="0.3">
      <c r="A7" s="6" t="s">
        <v>21</v>
      </c>
      <c r="B7" s="9">
        <f>Historical_FS!B11</f>
        <v>6.6386127838641812E-2</v>
      </c>
      <c r="C7" s="9">
        <f>Historical_FS!C11</f>
        <v>2.2383146807109941E-2</v>
      </c>
      <c r="D7" s="9">
        <f>Historical_FS!D11</f>
        <v>4.0884051237804475E-2</v>
      </c>
      <c r="E7" s="9">
        <f>Historical_FS!E11</f>
        <v>5.2297734627831716E-2</v>
      </c>
      <c r="F7" s="9">
        <f>Historical_FS!F11</f>
        <v>-0.17567804024496939</v>
      </c>
      <c r="G7" s="9">
        <f>Historical_FS!G11</f>
        <v>3.7818580432995338E-2</v>
      </c>
      <c r="H7" s="9">
        <f>Historical_FS!H11</f>
        <v>5.1374990150500358E-2</v>
      </c>
      <c r="I7" s="9">
        <f>Historical_FS!I11</f>
        <v>0.10318644947757803</v>
      </c>
      <c r="J7" s="9">
        <f>Historical_FS!J11</f>
        <v>0.13805468399820708</v>
      </c>
      <c r="K7" s="9">
        <f>Historical_FS!K11</f>
        <v>0.1725908569719328</v>
      </c>
    </row>
    <row r="8" spans="1:11" x14ac:dyDescent="0.3">
      <c r="A8" s="6" t="s">
        <v>23</v>
      </c>
      <c r="B8" s="9">
        <f>Historical_FS!B14</f>
        <v>2.9421598127716483E-3</v>
      </c>
      <c r="C8" s="9">
        <f>Historical_FS!C14</f>
        <v>2.4818607174340545E-2</v>
      </c>
      <c r="D8" s="9">
        <f>Historical_FS!D14</f>
        <v>-7.3812702651153916E-2</v>
      </c>
      <c r="E8" s="9">
        <f>Historical_FS!E14</f>
        <v>-5.1365527220112138E-2</v>
      </c>
      <c r="F8" s="9">
        <f>Historical_FS!F14</f>
        <v>-0.17161256635627883</v>
      </c>
      <c r="G8" s="9">
        <f>Historical_FS!G14</f>
        <v>4.5730076662506683E-2</v>
      </c>
      <c r="H8" s="9">
        <f>Historical_FS!H14</f>
        <v>6.1908284023668637E-2</v>
      </c>
      <c r="I8" s="9">
        <f>Historical_FS!I14</f>
        <v>0.11791823365279631</v>
      </c>
      <c r="J8" s="9">
        <f>Historical_FS!J14</f>
        <v>0.15368343117034217</v>
      </c>
      <c r="K8" s="9">
        <f>Historical_FS!K14</f>
        <v>0.21068515112934408</v>
      </c>
    </row>
    <row r="9" spans="1:11" x14ac:dyDescent="0.3">
      <c r="A9" s="6" t="s">
        <v>25</v>
      </c>
      <c r="B9" s="9">
        <f>Historical_FS!B18</f>
        <v>0.13028472821397757</v>
      </c>
      <c r="C9" s="9">
        <f>Historical_FS!C18</f>
        <v>0.13211903540277065</v>
      </c>
      <c r="D9" s="9">
        <f>Historical_FS!D18</f>
        <v>-0.18798778418730913</v>
      </c>
      <c r="E9" s="9">
        <f>Historical_FS!E18</f>
        <v>-0.4713804713804714</v>
      </c>
      <c r="F9" s="9">
        <f>Historical_FS!F18</f>
        <v>-0.10789567702750982</v>
      </c>
      <c r="G9" s="9">
        <f>Historical_FS!G18</f>
        <v>1.4217687074829932</v>
      </c>
      <c r="H9" s="9">
        <f>Historical_FS!H18</f>
        <v>0.20505992010652463</v>
      </c>
      <c r="I9" s="9">
        <f>Historical_FS!I18</f>
        <v>9.476720230737536E-3</v>
      </c>
      <c r="J9" s="9">
        <f>Historical_FS!J18</f>
        <v>-0.11190689346463742</v>
      </c>
      <c r="K9" s="9">
        <f>Historical_FS!K18</f>
        <v>0.15847152126892575</v>
      </c>
    </row>
    <row r="10" spans="1:11" x14ac:dyDescent="0.3">
      <c r="A10" s="6" t="s">
        <v>625</v>
      </c>
      <c r="B10" s="9">
        <f>Historical_FS!B28</f>
        <v>7.2553145178843505E-3</v>
      </c>
      <c r="C10" s="9">
        <f>Historical_FS!C28</f>
        <v>1.8945212493599591E-2</v>
      </c>
      <c r="D10" s="9">
        <f>Historical_FS!D28</f>
        <v>3.7698281011482045E-2</v>
      </c>
      <c r="E10" s="9">
        <f>Historical_FS!E28</f>
        <v>5.6504854368932038E-2</v>
      </c>
      <c r="F10" s="9">
        <f>Historical_FS!F28</f>
        <v>-0.37226596675415574</v>
      </c>
      <c r="G10" s="9">
        <f>Historical_FS!G28</f>
        <v>-0.13565360372704852</v>
      </c>
      <c r="H10" s="9">
        <f>Historical_FS!H28</f>
        <v>3.979197856748877E-2</v>
      </c>
      <c r="I10" s="9">
        <f>Historical_FS!I28</f>
        <v>8.3392822376533199E-2</v>
      </c>
      <c r="J10" s="9">
        <f>Historical_FS!J28</f>
        <v>0.1358695652173913</v>
      </c>
      <c r="K10" s="9">
        <f>Historical_FS!K28</f>
        <v>0.16301909367366268</v>
      </c>
    </row>
    <row r="11" spans="1:11" x14ac:dyDescent="0.3">
      <c r="A11" s="8"/>
      <c r="B11" s="7"/>
      <c r="C11" s="7"/>
      <c r="D11" s="7"/>
      <c r="E11" s="7"/>
      <c r="F11" s="7"/>
      <c r="G11" s="7"/>
      <c r="H11" s="7"/>
      <c r="I11" s="7"/>
      <c r="J11" s="7"/>
      <c r="K11" s="7"/>
    </row>
    <row r="12" spans="1:11" x14ac:dyDescent="0.3">
      <c r="A12" s="74" t="s">
        <v>626</v>
      </c>
      <c r="B12" s="79"/>
      <c r="C12" s="79"/>
      <c r="D12" s="79"/>
      <c r="E12" s="79"/>
      <c r="F12" s="79"/>
      <c r="G12" s="79"/>
      <c r="H12" s="79"/>
      <c r="I12" s="79"/>
      <c r="J12" s="79"/>
      <c r="K12" s="79"/>
    </row>
    <row r="13" spans="1:11" x14ac:dyDescent="0.3">
      <c r="A13" s="6" t="s">
        <v>627</v>
      </c>
      <c r="B13" s="9">
        <f>Historical_FS!B23/Historical_FS!B7</f>
        <v>5.2238264528767321E-2</v>
      </c>
      <c r="C13" s="9">
        <f>Historical_FS!C23/Historical_FS!C7</f>
        <v>4.7692195157632948E-2</v>
      </c>
      <c r="D13" s="9">
        <f>Historical_FS!D23/Historical_FS!D7</f>
        <v>5.0175881064578216E-2</v>
      </c>
      <c r="E13" s="9">
        <f>Historical_FS!E23/Historical_FS!E7</f>
        <v>6.9126213592233005E-2</v>
      </c>
      <c r="F13" s="9">
        <f>Historical_FS!F23/Historical_FS!F7</f>
        <v>9.1688538932633415E-2</v>
      </c>
      <c r="G13" s="9">
        <f>Historical_FS!G23/Historical_FS!G7</f>
        <v>8.8700100484150904E-2</v>
      </c>
      <c r="H13" s="9">
        <f>Historical_FS!H23/Historical_FS!H7</f>
        <v>7.509258529666693E-2</v>
      </c>
      <c r="I13" s="9">
        <f>Historical_FS!I23/Historical_FS!I7</f>
        <v>6.346940099941592E-2</v>
      </c>
      <c r="J13" s="9">
        <f>Historical_FS!J23/Historical_FS!J7</f>
        <v>4.7792469744509188E-2</v>
      </c>
      <c r="K13" s="9">
        <f>Historical_FS!K23/Historical_FS!K7</f>
        <v>4.4867640460641109E-2</v>
      </c>
    </row>
    <row r="14" spans="1:11" x14ac:dyDescent="0.3">
      <c r="A14" s="6" t="s">
        <v>628</v>
      </c>
      <c r="B14" s="9">
        <f>-Historical_FS!B24/Historical_FS!B7</f>
        <v>8.7136327359791044E-2</v>
      </c>
      <c r="C14" s="9">
        <f>-Historical_FS!C24/Historical_FS!C7</f>
        <v>0.10072416063199473</v>
      </c>
      <c r="D14" s="9">
        <f>-Historical_FS!D24/Historical_FS!D7</f>
        <v>0.10519678768168846</v>
      </c>
      <c r="E14" s="9">
        <f>-Historical_FS!E24/Historical_FS!E7</f>
        <v>8.6601941747572811E-2</v>
      </c>
      <c r="F14" s="9">
        <f>-Historical_FS!F24/Historical_FS!F7</f>
        <v>7.8302712160979879E-2</v>
      </c>
      <c r="G14" s="9">
        <f>-Historical_FS!G24/Historical_FS!G7</f>
        <v>4.5309217137115193E-2</v>
      </c>
      <c r="H14" s="9">
        <f>-Historical_FS!H24/Historical_FS!H7</f>
        <v>3.9713182570325425E-2</v>
      </c>
      <c r="I14" s="9">
        <f>-Historical_FS!I24/Historical_FS!I7</f>
        <v>4.5103510935167762E-2</v>
      </c>
      <c r="J14" s="9">
        <f>-Historical_FS!J24/Historical_FS!J7</f>
        <v>4.9081129538323623E-2</v>
      </c>
      <c r="K14" s="9">
        <f>-Historical_FS!K24/Historical_FS!K7</f>
        <v>4.875616930056334E-2</v>
      </c>
    </row>
    <row r="15" spans="1:11" x14ac:dyDescent="0.3">
      <c r="A15" s="6" t="s">
        <v>629</v>
      </c>
      <c r="B15" s="9">
        <f>Historical_FS!B25/Historical_FS!B7</f>
        <v>-3.9904229848363925E-3</v>
      </c>
      <c r="C15" s="9">
        <f>Historical_FS!C25/Historical_FS!C7</f>
        <v>-1.6019310950186525E-2</v>
      </c>
      <c r="D15" s="9">
        <f>Historical_FS!D25/Historical_FS!D7</f>
        <v>3.8561093781111035E-2</v>
      </c>
      <c r="E15" s="9">
        <f>Historical_FS!E25/Historical_FS!E7</f>
        <v>3.4368932038834954E-2</v>
      </c>
      <c r="F15" s="9">
        <f>Historical_FS!F25/Historical_FS!F7</f>
        <v>-0.13359580052493439</v>
      </c>
      <c r="G15" s="9">
        <f>Historical_FS!G25/Historical_FS!G7</f>
        <v>-7.3992874760208271E-2</v>
      </c>
      <c r="H15" s="9">
        <f>Historical_FS!H25/Historical_FS!H7</f>
        <v>-4.1289102513592309E-2</v>
      </c>
      <c r="I15" s="9">
        <f>Historical_FS!I25/Historical_FS!I7</f>
        <v>-2.3103381140891686E-2</v>
      </c>
      <c r="J15" s="9">
        <f>Historical_FS!J25/Historical_FS!J7</f>
        <v>1.5688032272523533E-2</v>
      </c>
      <c r="K15" s="9">
        <f>Historical_FS!K25/Historical_FS!K7</f>
        <v>2.0988085148811009E-2</v>
      </c>
    </row>
    <row r="16" spans="1:11" x14ac:dyDescent="0.3">
      <c r="A16" s="6" t="s">
        <v>630</v>
      </c>
      <c r="B16" s="9">
        <f>-Historical_FS!B26/Historical_FS!B7</f>
        <v>1.1390843793078431E-2</v>
      </c>
      <c r="C16" s="9">
        <f>-Historical_FS!C26/Historical_FS!C7</f>
        <v>1.3166556945358789E-2</v>
      </c>
      <c r="D16" s="9">
        <f>-Historical_FS!D26/Historical_FS!D7</f>
        <v>1.6459812835999205E-2</v>
      </c>
      <c r="E16" s="9">
        <f>-Historical_FS!E26/Historical_FS!E7</f>
        <v>1.1326860841423949E-2</v>
      </c>
      <c r="F16" s="9">
        <f>-Historical_FS!F26/Historical_FS!F7</f>
        <v>2.020997375328084E-2</v>
      </c>
      <c r="G16" s="9">
        <f>-Historical_FS!G26/Historical_FS!G7</f>
        <v>1.6899607198319174E-2</v>
      </c>
      <c r="H16" s="9">
        <f>-Historical_FS!H26/Historical_FS!H7</f>
        <v>1.3710503506421874E-2</v>
      </c>
      <c r="I16" s="9">
        <f>-Historical_FS!I26/Historical_FS!I7</f>
        <v>1.1162307742228568E-2</v>
      </c>
      <c r="J16" s="9">
        <f>-Historical_FS!J26/Historical_FS!J7</f>
        <v>2.1346929627969521E-2</v>
      </c>
      <c r="K16" s="9">
        <f>-Historical_FS!K26/Historical_FS!K7</f>
        <v>2.7668378284062017E-2</v>
      </c>
    </row>
    <row r="17" spans="1:11" x14ac:dyDescent="0.3">
      <c r="A17" s="8"/>
      <c r="B17" s="7"/>
      <c r="C17" s="7"/>
      <c r="D17" s="7"/>
      <c r="E17" s="7"/>
      <c r="F17" s="7"/>
      <c r="G17" s="7"/>
      <c r="H17" s="7"/>
      <c r="I17" s="7"/>
      <c r="J17" s="7"/>
      <c r="K17" s="7"/>
    </row>
    <row r="18" spans="1:11" x14ac:dyDescent="0.3">
      <c r="A18" s="74" t="s">
        <v>631</v>
      </c>
      <c r="B18" s="79"/>
      <c r="C18" s="79"/>
      <c r="D18" s="79"/>
      <c r="E18" s="79"/>
      <c r="F18" s="79"/>
      <c r="G18" s="79"/>
      <c r="H18" s="79"/>
      <c r="I18" s="79"/>
      <c r="J18" s="79"/>
      <c r="K18" s="79"/>
    </row>
    <row r="19" spans="1:11" x14ac:dyDescent="0.3">
      <c r="A19" s="6" t="s">
        <v>632</v>
      </c>
      <c r="B19" s="9">
        <f>Historical_FS!B32/Historical_FS!B7</f>
        <v>0.24356090836537764</v>
      </c>
      <c r="C19" s="9">
        <f>Historical_FS!C32/Historical_FS!C7</f>
        <v>0.25513861458561921</v>
      </c>
      <c r="D19" s="9">
        <f>Historical_FS!D32/Historical_FS!D7</f>
        <v>0.29275900975642133</v>
      </c>
      <c r="E19" s="9">
        <f>Historical_FS!E32/Historical_FS!E7</f>
        <v>0.21559870550161811</v>
      </c>
      <c r="F19" s="9">
        <f>Historical_FS!F32/Historical_FS!F7</f>
        <v>0.46194225721784776</v>
      </c>
      <c r="G19" s="9">
        <f>Historical_FS!G32/Historical_FS!G7</f>
        <v>0.55101854389330407</v>
      </c>
      <c r="H19" s="9">
        <f>Historical_FS!H32/Historical_FS!H7</f>
        <v>0.32369395634701759</v>
      </c>
      <c r="I19" s="9">
        <f>Historical_FS!I32/Historical_FS!I7</f>
        <v>0.26257382049451622</v>
      </c>
      <c r="J19" s="9">
        <f>Historical_FS!J32/Historical_FS!J7</f>
        <v>0.20030255490811297</v>
      </c>
      <c r="K19" s="9">
        <f>Historical_FS!K32/Historical_FS!K7</f>
        <v>0.13953836183259385</v>
      </c>
    </row>
    <row r="20" spans="1:11" x14ac:dyDescent="0.3">
      <c r="A20" s="6" t="s">
        <v>633</v>
      </c>
      <c r="B20" s="9">
        <f>Historical_FS!B33/Historical_FS!B7</f>
        <v>1.6324457665239787E-2</v>
      </c>
      <c r="C20" s="9">
        <f>Historical_FS!C33/Historical_FS!C7</f>
        <v>2.2309999268524613E-2</v>
      </c>
      <c r="D20" s="9">
        <f>Historical_FS!D33/Historical_FS!D7</f>
        <v>-4.0552200172562551E-2</v>
      </c>
      <c r="E20" s="9">
        <f>Historical_FS!E33/Historical_FS!E7</f>
        <v>6.4271844660194172E-2</v>
      </c>
      <c r="F20" s="9">
        <f>Historical_FS!F33/Historical_FS!F7</f>
        <v>0.31286089238845144</v>
      </c>
      <c r="G20" s="9">
        <f>Historical_FS!G33/Historical_FS!G7</f>
        <v>0.47108796930665936</v>
      </c>
      <c r="H20" s="9">
        <f>Historical_FS!H33/Historical_FS!H7</f>
        <v>0.2561657867780317</v>
      </c>
      <c r="I20" s="9">
        <f>Historical_FS!I33/Historical_FS!I7</f>
        <v>0.12667921344668701</v>
      </c>
      <c r="J20" s="9">
        <f>Historical_FS!J33/Historical_FS!J7</f>
        <v>-2.6613626176602422E-2</v>
      </c>
      <c r="K20" s="9">
        <f>Historical_FS!K33/Historical_FS!K7</f>
        <v>-9.4471309636572118E-2</v>
      </c>
    </row>
    <row r="21" spans="1:11" x14ac:dyDescent="0.3">
      <c r="A21" s="6" t="s">
        <v>634</v>
      </c>
      <c r="B21" s="9">
        <f>Historical_FS!B31/Historical_FS!B7</f>
        <v>0.20104476529057536</v>
      </c>
      <c r="C21" s="9">
        <f>Historical_FS!C31/Historical_FS!C7</f>
        <v>0.21600468144246945</v>
      </c>
      <c r="D21" s="9">
        <f>Historical_FS!D31/Historical_FS!D7</f>
        <v>0.33012543970266145</v>
      </c>
      <c r="E21" s="9">
        <f>Historical_FS!E31/Historical_FS!E7</f>
        <v>0.28757281553398056</v>
      </c>
      <c r="F21" s="9">
        <f>Historical_FS!F31/Historical_FS!F7</f>
        <v>0.30201224846894137</v>
      </c>
      <c r="G21" s="9">
        <f>Historical_FS!G31/Historical_FS!G7</f>
        <v>0.23942632684753815</v>
      </c>
      <c r="H21" s="9">
        <f>Historical_FS!H31/Historical_FS!H7</f>
        <v>0.20542116460483809</v>
      </c>
      <c r="I21" s="9">
        <f>Historical_FS!I31/Historical_FS!I7</f>
        <v>0.24557077032902849</v>
      </c>
      <c r="J21" s="9">
        <f>Historical_FS!J31/Historical_FS!J7</f>
        <v>0.31235992828328102</v>
      </c>
      <c r="K21" s="9">
        <f>Historical_FS!K31/Historical_FS!K7</f>
        <v>0.31128171892915896</v>
      </c>
    </row>
    <row r="22" spans="1:11" x14ac:dyDescent="0.3">
      <c r="A22" s="8"/>
      <c r="B22" s="7"/>
      <c r="C22" s="7"/>
      <c r="D22" s="7"/>
      <c r="E22" s="7"/>
      <c r="F22" s="7"/>
      <c r="G22" s="7"/>
      <c r="H22" s="7"/>
      <c r="I22" s="7"/>
      <c r="J22" s="7"/>
      <c r="K22" s="7"/>
    </row>
    <row r="23" spans="1:11" x14ac:dyDescent="0.3">
      <c r="A23" s="74" t="s">
        <v>635</v>
      </c>
      <c r="B23" s="79"/>
      <c r="C23" s="79"/>
      <c r="D23" s="79"/>
      <c r="E23" s="79"/>
      <c r="F23" s="79"/>
      <c r="G23" s="79"/>
      <c r="H23" s="79"/>
      <c r="I23" s="79"/>
      <c r="J23" s="79"/>
      <c r="K23" s="79"/>
    </row>
    <row r="24" spans="1:11" x14ac:dyDescent="0.3">
      <c r="A24" s="6" t="s">
        <v>44</v>
      </c>
      <c r="B24" s="9">
        <f>Historical_FS!B47</f>
        <v>5.1931512664496957E-2</v>
      </c>
      <c r="C24" s="9">
        <f>Historical_FS!C47</f>
        <v>-5.1985450136404973E-2</v>
      </c>
      <c r="D24" s="9">
        <f>Historical_FS!D47</f>
        <v>-2.1957169964760097E-2</v>
      </c>
      <c r="E24" s="9">
        <f>Historical_FS!E47</f>
        <v>5.4274084124830389E-3</v>
      </c>
      <c r="F24" s="9">
        <f>Historical_FS!F47</f>
        <v>-0.50019731649565902</v>
      </c>
      <c r="G24" s="9">
        <f>Historical_FS!G47</f>
        <v>-3.7918871252204583E-2</v>
      </c>
      <c r="H24" s="9">
        <f>Historical_FS!H47</f>
        <v>2.5149489975378123E-2</v>
      </c>
      <c r="I24" s="9">
        <f>Historical_FS!I47</f>
        <v>0.11567773543821448</v>
      </c>
      <c r="J24" s="9">
        <f>Historical_FS!J47</f>
        <v>0.16648230088495575</v>
      </c>
      <c r="K24" s="9">
        <f>Historical_FS!K47</f>
        <v>0.20516278173762281</v>
      </c>
    </row>
    <row r="25" spans="1:11" x14ac:dyDescent="0.3">
      <c r="A25" s="6" t="s">
        <v>46</v>
      </c>
      <c r="B25" s="9">
        <f>Historical_FS!B49</f>
        <v>0.17383431416930739</v>
      </c>
      <c r="C25" s="9">
        <f>Historical_FS!C49</f>
        <v>0.14276729559748427</v>
      </c>
      <c r="D25" s="9">
        <f>Historical_FS!D49</f>
        <v>0.13668373879641485</v>
      </c>
      <c r="E25" s="9">
        <f>Historical_FS!E49</f>
        <v>0.12769230769230769</v>
      </c>
      <c r="F25" s="9">
        <f>Historical_FS!F49</f>
        <v>0.13740685543964232</v>
      </c>
      <c r="G25" s="9">
        <f>Historical_FS!G49</f>
        <v>0.13568883610451307</v>
      </c>
      <c r="H25" s="9">
        <f>Historical_FS!H49</f>
        <v>0.11803278688524591</v>
      </c>
      <c r="I25" s="9">
        <f>Historical_FS!I49</f>
        <v>0.13784645572725043</v>
      </c>
      <c r="J25" s="9">
        <f>Historical_FS!J49</f>
        <v>0.14241486068111456</v>
      </c>
      <c r="K25" s="9">
        <f>Historical_FS!K49</f>
        <v>0.14438390611902766</v>
      </c>
    </row>
    <row r="26" spans="1:11" x14ac:dyDescent="0.3">
      <c r="A26" s="6" t="s">
        <v>48</v>
      </c>
      <c r="B26" s="9">
        <f>Historical_FS!B51</f>
        <v>7.1939736346516014E-2</v>
      </c>
      <c r="C26" s="9">
        <f>Historical_FS!C51</f>
        <v>8.6768617021276598E-2</v>
      </c>
      <c r="D26" s="9">
        <f>Historical_FS!D51</f>
        <v>9.1729761211415253E-2</v>
      </c>
      <c r="E26" s="9">
        <f>Historical_FS!E51</f>
        <v>0.10352609308885755</v>
      </c>
      <c r="F26" s="9">
        <f>Historical_FS!F51</f>
        <v>6.873857404021938E-2</v>
      </c>
      <c r="G26" s="9">
        <f>Historical_FS!G51</f>
        <v>8.8032011640596583E-2</v>
      </c>
      <c r="H26" s="9">
        <f>Historical_FS!H51</f>
        <v>8.3955781296683601E-2</v>
      </c>
      <c r="I26" s="9">
        <f>Historical_FS!I51</f>
        <v>0.10408266129032258</v>
      </c>
      <c r="J26" s="9">
        <f>Historical_FS!J51</f>
        <v>0.1311168344649965</v>
      </c>
      <c r="K26" s="9">
        <f>Historical_FS!K51</f>
        <v>0.17416189697465248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7E79-357B-4ACD-A5CE-340656C72A99}">
  <sheetPr>
    <tabColor theme="3" tint="0.749992370372631"/>
  </sheetPr>
  <dimension ref="A1:X129"/>
  <sheetViews>
    <sheetView showGridLines="0" workbookViewId="0">
      <selection activeCell="P35" sqref="P35"/>
    </sheetView>
  </sheetViews>
  <sheetFormatPr defaultRowHeight="14.4" x14ac:dyDescent="0.3"/>
  <cols>
    <col min="1" max="1" width="34.77734375" customWidth="1"/>
    <col min="2" max="16" width="11.77734375" customWidth="1"/>
    <col min="17" max="17" width="3.77734375" customWidth="1"/>
    <col min="18" max="18" width="34.77734375" customWidth="1"/>
    <col min="19" max="19" width="16.77734375" customWidth="1"/>
  </cols>
  <sheetData>
    <row r="1" spans="1:24" ht="21" x14ac:dyDescent="0.3">
      <c r="A1" s="72" t="s">
        <v>127</v>
      </c>
      <c r="B1" s="81"/>
      <c r="C1" s="81"/>
      <c r="D1" s="81"/>
      <c r="E1" s="81"/>
      <c r="F1" s="81"/>
      <c r="G1" s="81"/>
      <c r="H1" s="81"/>
      <c r="I1" s="81"/>
      <c r="J1" s="81"/>
      <c r="K1" s="81"/>
      <c r="L1" s="81"/>
      <c r="M1" s="81"/>
      <c r="N1" s="81"/>
      <c r="O1" s="81"/>
      <c r="P1" s="81"/>
      <c r="Q1" s="73"/>
      <c r="R1" s="73"/>
      <c r="S1" s="73"/>
      <c r="T1" s="8"/>
      <c r="U1" s="8"/>
      <c r="V1" s="8"/>
      <c r="W1" s="8"/>
      <c r="X1" s="8"/>
    </row>
    <row r="2" spans="1:24" ht="40.799999999999997" x14ac:dyDescent="0.3">
      <c r="A2" s="8"/>
      <c r="B2" s="15" t="s">
        <v>0</v>
      </c>
      <c r="C2" s="15" t="s">
        <v>1</v>
      </c>
      <c r="D2" s="15" t="s">
        <v>2</v>
      </c>
      <c r="E2" s="15" t="s">
        <v>3</v>
      </c>
      <c r="F2" s="15" t="s">
        <v>4</v>
      </c>
      <c r="G2" s="15" t="s">
        <v>5</v>
      </c>
      <c r="H2" s="15" t="s">
        <v>6</v>
      </c>
      <c r="I2" s="15" t="s">
        <v>7</v>
      </c>
      <c r="J2" s="15" t="s">
        <v>8</v>
      </c>
      <c r="K2" s="16" t="s">
        <v>9</v>
      </c>
      <c r="L2" s="17" t="s">
        <v>10</v>
      </c>
      <c r="M2" s="15" t="s">
        <v>11</v>
      </c>
      <c r="N2" s="15" t="s">
        <v>12</v>
      </c>
      <c r="O2" s="15" t="s">
        <v>13</v>
      </c>
      <c r="P2" s="15" t="s">
        <v>14</v>
      </c>
      <c r="Q2" s="8"/>
      <c r="R2" s="83" t="s">
        <v>101</v>
      </c>
      <c r="S2" s="75"/>
      <c r="T2" s="8"/>
      <c r="U2" s="8"/>
      <c r="V2" s="8"/>
      <c r="W2" s="8"/>
      <c r="X2" s="8"/>
    </row>
    <row r="3" spans="1:24" x14ac:dyDescent="0.3">
      <c r="A3" s="8"/>
      <c r="B3" s="8"/>
      <c r="C3" s="8"/>
      <c r="D3" s="8"/>
      <c r="E3" s="8"/>
      <c r="F3" s="8"/>
      <c r="G3" s="8"/>
      <c r="H3" s="8"/>
      <c r="I3" s="8"/>
      <c r="J3" s="8"/>
      <c r="K3" s="8"/>
      <c r="L3" s="8"/>
      <c r="M3" s="8"/>
      <c r="N3" s="8"/>
      <c r="O3" s="8"/>
      <c r="P3" s="8"/>
      <c r="Q3" s="8"/>
      <c r="R3" s="8"/>
      <c r="S3" s="8"/>
      <c r="T3" s="8"/>
      <c r="U3" s="8"/>
      <c r="V3" s="8"/>
      <c r="W3" s="8"/>
      <c r="X3" s="8"/>
    </row>
    <row r="4" spans="1:24" x14ac:dyDescent="0.3">
      <c r="A4" s="8"/>
      <c r="B4" s="8"/>
      <c r="C4" s="8"/>
      <c r="D4" s="8"/>
      <c r="E4" s="8"/>
      <c r="F4" s="8"/>
      <c r="G4" s="8"/>
      <c r="H4" s="8"/>
      <c r="I4" s="8"/>
      <c r="J4" s="8"/>
      <c r="K4" s="8"/>
      <c r="L4" s="8"/>
      <c r="M4" s="8"/>
      <c r="N4" s="8"/>
      <c r="O4" s="8"/>
      <c r="P4" s="8"/>
      <c r="Q4" s="8"/>
      <c r="R4" s="14" t="s">
        <v>102</v>
      </c>
      <c r="S4" s="14" t="s">
        <v>103</v>
      </c>
      <c r="T4" s="8"/>
      <c r="U4" s="8"/>
      <c r="V4" s="8"/>
      <c r="W4" s="8"/>
      <c r="X4" s="7"/>
    </row>
    <row r="5" spans="1:24" x14ac:dyDescent="0.3">
      <c r="A5" s="6" t="s">
        <v>37</v>
      </c>
      <c r="B5" s="11">
        <f>Historical_FS!B37</f>
        <v>7067</v>
      </c>
      <c r="C5" s="11">
        <f>Historical_FS!C37</f>
        <v>6598</v>
      </c>
      <c r="D5" s="11">
        <f>Historical_FS!D37</f>
        <v>7378</v>
      </c>
      <c r="E5" s="11">
        <f>Historical_FS!E37</f>
        <v>8107</v>
      </c>
      <c r="F5" s="11">
        <f>Historical_FS!F37</f>
        <v>5068</v>
      </c>
      <c r="G5" s="11">
        <f>Historical_FS!G37</f>
        <v>4536</v>
      </c>
      <c r="H5" s="11">
        <f>Historical_FS!H37</f>
        <v>5686</v>
      </c>
      <c r="I5" s="11">
        <f>Historical_FS!I37</f>
        <v>7348</v>
      </c>
      <c r="J5" s="11">
        <f>Historical_FS!J37</f>
        <v>9040</v>
      </c>
      <c r="K5" s="11">
        <f>Historical_FS!K37</f>
        <v>10382</v>
      </c>
      <c r="L5" s="45">
        <f>$S$103</f>
        <v>12612.733628318583</v>
      </c>
      <c r="M5" s="45">
        <f>L5*(1+M6)</f>
        <v>14154.696682577625</v>
      </c>
      <c r="N5" s="45">
        <f t="shared" ref="N5:P5" si="0">M5*(1+N6)</f>
        <v>15514.363028441046</v>
      </c>
      <c r="O5" s="45">
        <f t="shared" si="0"/>
        <v>16598.208105444657</v>
      </c>
      <c r="P5" s="45">
        <f t="shared" si="0"/>
        <v>17322.950509708135</v>
      </c>
      <c r="Q5" s="46"/>
      <c r="R5" s="38" t="s">
        <v>104</v>
      </c>
      <c r="S5" s="27">
        <f>(K5/H5)^(1/3)-1</f>
        <v>0.22224440078224439</v>
      </c>
      <c r="T5" s="46"/>
      <c r="U5" s="8"/>
      <c r="V5" s="8"/>
      <c r="W5" s="8"/>
      <c r="X5" s="7"/>
    </row>
    <row r="6" spans="1:24" x14ac:dyDescent="0.3">
      <c r="A6" s="6" t="s">
        <v>100</v>
      </c>
      <c r="B6" s="46"/>
      <c r="C6" s="27">
        <f>IFERROR(C5/B5-1,"")</f>
        <v>-6.636479411348517E-2</v>
      </c>
      <c r="D6" s="27">
        <f t="shared" ref="D6:K6" si="1">IFERROR(D5/C5-1,"")</f>
        <v>0.11821764170960902</v>
      </c>
      <c r="E6" s="27">
        <f t="shared" si="1"/>
        <v>9.8807264841420439E-2</v>
      </c>
      <c r="F6" s="27">
        <f t="shared" si="1"/>
        <v>-0.37486123103490809</v>
      </c>
      <c r="G6" s="27">
        <f t="shared" si="1"/>
        <v>-0.10497237569060769</v>
      </c>
      <c r="H6" s="27">
        <f t="shared" si="1"/>
        <v>0.2535273368606703</v>
      </c>
      <c r="I6" s="27">
        <f t="shared" si="1"/>
        <v>0.2922968695040451</v>
      </c>
      <c r="J6" s="27">
        <f t="shared" si="1"/>
        <v>0.23026673924877517</v>
      </c>
      <c r="K6" s="27">
        <f t="shared" si="1"/>
        <v>0.14845132743362832</v>
      </c>
      <c r="L6" s="27">
        <f>L5/K5-1</f>
        <v>0.21486550070493005</v>
      </c>
      <c r="M6" s="27">
        <f>$S$21+($S$25-$S$21)*(COLUMN()-COLUMN($L6))/4</f>
        <v>0.12225446914988897</v>
      </c>
      <c r="N6" s="27">
        <f t="shared" ref="N6:P6" si="2">$S$21+($S$25-$S$21)*(COLUMN()-COLUMN($L6))/4</f>
        <v>9.6057610866149612E-2</v>
      </c>
      <c r="O6" s="27">
        <f t="shared" si="2"/>
        <v>6.9860752582410257E-2</v>
      </c>
      <c r="P6" s="27">
        <f t="shared" si="2"/>
        <v>4.3663894298670902E-2</v>
      </c>
      <c r="Q6" s="46"/>
      <c r="R6" s="38" t="s">
        <v>105</v>
      </c>
      <c r="S6" s="27">
        <f>(K8/H8)^(1/3)-1</f>
        <v>9.246227766762205E-2</v>
      </c>
      <c r="T6" s="46"/>
      <c r="U6" s="8"/>
      <c r="V6" s="8"/>
      <c r="W6" s="8"/>
      <c r="X6" s="7"/>
    </row>
    <row r="7" spans="1:24" x14ac:dyDescent="0.3">
      <c r="A7" s="8"/>
      <c r="B7" s="46"/>
      <c r="C7" s="46"/>
      <c r="D7" s="46"/>
      <c r="E7" s="46"/>
      <c r="F7" s="46"/>
      <c r="G7" s="46"/>
      <c r="H7" s="46"/>
      <c r="I7" s="46"/>
      <c r="J7" s="46"/>
      <c r="K7" s="46"/>
      <c r="L7" s="47"/>
      <c r="M7" s="46"/>
      <c r="N7" s="46"/>
      <c r="O7" s="46"/>
      <c r="P7" s="46"/>
      <c r="Q7" s="46"/>
      <c r="R7" s="38" t="s">
        <v>106</v>
      </c>
      <c r="S7" s="27">
        <f>(K11/H11)^(1/3)-1</f>
        <v>0.13486337041530794</v>
      </c>
      <c r="T7" s="46"/>
      <c r="U7" s="8"/>
      <c r="V7" s="8"/>
      <c r="W7" s="8"/>
      <c r="X7" s="7"/>
    </row>
    <row r="8" spans="1:24" x14ac:dyDescent="0.3">
      <c r="A8" s="6" t="s">
        <v>38</v>
      </c>
      <c r="B8" s="11">
        <f>Historical_FS!B38</f>
        <v>2209</v>
      </c>
      <c r="C8" s="11">
        <f>Historical_FS!C38</f>
        <v>3180</v>
      </c>
      <c r="D8" s="11">
        <f>Historical_FS!D38</f>
        <v>3124</v>
      </c>
      <c r="E8" s="11">
        <f>Historical_FS!E38</f>
        <v>3250</v>
      </c>
      <c r="F8" s="11">
        <f>Historical_FS!F38</f>
        <v>3355</v>
      </c>
      <c r="G8" s="11">
        <f>Historical_FS!G38</f>
        <v>3368</v>
      </c>
      <c r="H8" s="11">
        <f>Historical_FS!H38</f>
        <v>3660</v>
      </c>
      <c r="I8" s="11">
        <f>Historical_FS!I38</f>
        <v>4077</v>
      </c>
      <c r="J8" s="11">
        <f>Historical_FS!J38</f>
        <v>4522</v>
      </c>
      <c r="K8" s="11">
        <f>Historical_FS!K38</f>
        <v>4772</v>
      </c>
      <c r="L8" s="45">
        <f>$S$104</f>
        <v>5255.6288387900104</v>
      </c>
      <c r="M8" s="45">
        <f t="shared" ref="M8:P8" si="3">L8*(1+M9)</f>
        <v>5717.2943320168451</v>
      </c>
      <c r="N8" s="45">
        <f t="shared" si="3"/>
        <v>6222.3860096693934</v>
      </c>
      <c r="O8" s="45">
        <f t="shared" si="3"/>
        <v>6775.226061346003</v>
      </c>
      <c r="P8" s="45">
        <f t="shared" si="3"/>
        <v>7380.5883169202334</v>
      </c>
      <c r="Q8" s="46"/>
      <c r="R8" s="38" t="s">
        <v>108</v>
      </c>
      <c r="S8" s="27">
        <f>(K17/H17)^(1/3)-1</f>
        <v>0.16485305964756858</v>
      </c>
      <c r="T8" s="46"/>
      <c r="U8" s="8"/>
      <c r="V8" s="8"/>
      <c r="W8" s="8"/>
      <c r="X8" s="8"/>
    </row>
    <row r="9" spans="1:24" x14ac:dyDescent="0.3">
      <c r="A9" s="6" t="s">
        <v>100</v>
      </c>
      <c r="B9" s="46"/>
      <c r="C9" s="27">
        <f>IFERROR(C8/B8-1,"")</f>
        <v>0.43956541421457662</v>
      </c>
      <c r="D9" s="27">
        <f t="shared" ref="D9:K9" si="4">IFERROR(D8/C8-1,"")</f>
        <v>-1.7610062893081757E-2</v>
      </c>
      <c r="E9" s="27">
        <f t="shared" si="4"/>
        <v>4.0332906530089696E-2</v>
      </c>
      <c r="F9" s="27">
        <f t="shared" si="4"/>
        <v>3.2307692307692371E-2</v>
      </c>
      <c r="G9" s="27">
        <f t="shared" si="4"/>
        <v>3.8748137108792768E-3</v>
      </c>
      <c r="H9" s="27">
        <f t="shared" si="4"/>
        <v>8.6698337292161476E-2</v>
      </c>
      <c r="I9" s="27">
        <f t="shared" si="4"/>
        <v>0.11393442622950811</v>
      </c>
      <c r="J9" s="27">
        <f t="shared" si="4"/>
        <v>0.10914888398332101</v>
      </c>
      <c r="K9" s="27">
        <f t="shared" si="4"/>
        <v>5.5285272003538166E-2</v>
      </c>
      <c r="L9" s="27">
        <f>L8/K8-1</f>
        <v>0.10134720008172882</v>
      </c>
      <c r="M9" s="27">
        <f>$S$22+($S$26-$S$22)*(COLUMN()-COLUMN($L9))/4</f>
        <v>8.7842103654550016E-2</v>
      </c>
      <c r="N9" s="27">
        <f t="shared" ref="N9:P9" si="5">$S$22+($S$26-$S$22)*(COLUMN()-COLUMN($L9))/4</f>
        <v>8.8344529478574213E-2</v>
      </c>
      <c r="O9" s="27">
        <f t="shared" si="5"/>
        <v>8.884695530259841E-2</v>
      </c>
      <c r="P9" s="27">
        <f t="shared" si="5"/>
        <v>8.9349381126622607E-2</v>
      </c>
      <c r="Q9" s="46"/>
      <c r="R9" s="46"/>
      <c r="S9" s="25"/>
      <c r="T9" s="46"/>
      <c r="U9" s="8"/>
      <c r="V9" s="8"/>
      <c r="W9" s="8"/>
      <c r="X9" s="8"/>
    </row>
    <row r="10" spans="1:24" x14ac:dyDescent="0.3">
      <c r="A10" s="8"/>
      <c r="B10" s="46"/>
      <c r="C10" s="46"/>
      <c r="D10" s="46"/>
      <c r="E10" s="46"/>
      <c r="F10" s="46"/>
      <c r="G10" s="46"/>
      <c r="H10" s="46"/>
      <c r="I10" s="46"/>
      <c r="J10" s="46"/>
      <c r="K10" s="46"/>
      <c r="L10" s="47"/>
      <c r="M10" s="46"/>
      <c r="N10" s="46"/>
      <c r="O10" s="46"/>
      <c r="P10" s="46"/>
      <c r="Q10" s="46"/>
      <c r="R10" s="38" t="s">
        <v>110</v>
      </c>
      <c r="S10" s="27">
        <f>K6</f>
        <v>0.14845132743362832</v>
      </c>
      <c r="T10" s="46"/>
      <c r="U10" s="8"/>
      <c r="V10" s="8"/>
      <c r="W10" s="8"/>
      <c r="X10" s="8"/>
    </row>
    <row r="11" spans="1:24" x14ac:dyDescent="0.3">
      <c r="A11" s="6" t="s">
        <v>98</v>
      </c>
      <c r="B11" s="11">
        <f>Historical_FS!B39</f>
        <v>2655</v>
      </c>
      <c r="C11" s="11">
        <f>Historical_FS!C39</f>
        <v>3008</v>
      </c>
      <c r="D11" s="11">
        <f>Historical_FS!D39</f>
        <v>3434</v>
      </c>
      <c r="E11" s="11">
        <f>Historical_FS!E39</f>
        <v>3545</v>
      </c>
      <c r="F11" s="11">
        <f>Historical_FS!F39</f>
        <v>2735</v>
      </c>
      <c r="G11" s="11">
        <f>Historical_FS!G39</f>
        <v>2749</v>
      </c>
      <c r="H11" s="11">
        <f>Historical_FS!H39</f>
        <v>3347</v>
      </c>
      <c r="I11" s="11">
        <f>Historical_FS!I39</f>
        <v>3968</v>
      </c>
      <c r="J11" s="11">
        <f>Historical_FS!J39</f>
        <v>4271</v>
      </c>
      <c r="K11" s="11">
        <f>Historical_FS!K39</f>
        <v>4892</v>
      </c>
      <c r="L11" s="45">
        <f>$S$105</f>
        <v>5804.1843677008874</v>
      </c>
      <c r="M11" s="45">
        <f t="shared" ref="M11:P11" si="6">L11*(1+M12)</f>
        <v>6441.0196616312078</v>
      </c>
      <c r="N11" s="45">
        <f t="shared" si="6"/>
        <v>7063.0183401494169</v>
      </c>
      <c r="O11" s="45">
        <f t="shared" si="6"/>
        <v>7652.1918790634545</v>
      </c>
      <c r="P11" s="45">
        <f t="shared" si="6"/>
        <v>8189.8731695426331</v>
      </c>
      <c r="Q11" s="46"/>
      <c r="R11" s="38" t="s">
        <v>112</v>
      </c>
      <c r="S11" s="27">
        <f>K9</f>
        <v>5.5285272003538166E-2</v>
      </c>
      <c r="T11" s="46"/>
      <c r="U11" s="8"/>
      <c r="V11" s="8"/>
      <c r="W11" s="8"/>
      <c r="X11" s="8"/>
    </row>
    <row r="12" spans="1:24" x14ac:dyDescent="0.3">
      <c r="A12" s="6" t="s">
        <v>100</v>
      </c>
      <c r="B12" s="46"/>
      <c r="C12" s="27">
        <f>IFERROR(C11/B11-1,"")</f>
        <v>0.13295668549905848</v>
      </c>
      <c r="D12" s="27">
        <f t="shared" ref="D12:K12" si="7">IFERROR(D11/C11-1,"")</f>
        <v>0.1416223404255319</v>
      </c>
      <c r="E12" s="27">
        <f t="shared" si="7"/>
        <v>3.2323820617355947E-2</v>
      </c>
      <c r="F12" s="27">
        <f t="shared" si="7"/>
        <v>-0.22849083215796895</v>
      </c>
      <c r="G12" s="27">
        <f t="shared" si="7"/>
        <v>5.1188299817184202E-3</v>
      </c>
      <c r="H12" s="27">
        <f t="shared" si="7"/>
        <v>0.21753364859949076</v>
      </c>
      <c r="I12" s="27">
        <f t="shared" si="7"/>
        <v>0.18553928891544658</v>
      </c>
      <c r="J12" s="27">
        <f t="shared" si="7"/>
        <v>7.6360887096774244E-2</v>
      </c>
      <c r="K12" s="27">
        <f t="shared" si="7"/>
        <v>0.14539920393350503</v>
      </c>
      <c r="L12" s="27">
        <f>L11/K11-1</f>
        <v>0.18646450688897942</v>
      </c>
      <c r="M12" s="27">
        <f>$S$23+($S$27-$S$23)*(COLUMN()-COLUMN($L12))/4</f>
        <v>0.10972003189185041</v>
      </c>
      <c r="N12" s="27">
        <f t="shared" ref="N12:P12" si="8">$S$23+($S$27-$S$23)*(COLUMN()-COLUMN($L12))/4</f>
        <v>9.6568355818477031E-2</v>
      </c>
      <c r="O12" s="27">
        <f t="shared" si="8"/>
        <v>8.3416679745103653E-2</v>
      </c>
      <c r="P12" s="27">
        <f t="shared" si="8"/>
        <v>7.0265003671730275E-2</v>
      </c>
      <c r="Q12" s="46"/>
      <c r="R12" s="38" t="s">
        <v>113</v>
      </c>
      <c r="S12" s="27">
        <f>K12</f>
        <v>0.14539920393350503</v>
      </c>
      <c r="T12" s="46"/>
      <c r="U12" s="8"/>
      <c r="V12" s="8"/>
      <c r="W12" s="8"/>
      <c r="X12" s="8"/>
    </row>
    <row r="13" spans="1:24" x14ac:dyDescent="0.3">
      <c r="A13" s="8"/>
      <c r="B13" s="46"/>
      <c r="C13" s="46"/>
      <c r="D13" s="46"/>
      <c r="E13" s="46"/>
      <c r="F13" s="46"/>
      <c r="G13" s="46"/>
      <c r="H13" s="46"/>
      <c r="I13" s="46"/>
      <c r="J13" s="46"/>
      <c r="K13" s="46"/>
      <c r="L13" s="47"/>
      <c r="M13" s="46"/>
      <c r="N13" s="46"/>
      <c r="O13" s="46"/>
      <c r="P13" s="46"/>
      <c r="Q13" s="46"/>
      <c r="R13" s="38" t="s">
        <v>114</v>
      </c>
      <c r="S13" s="27">
        <f>K18</f>
        <v>0.12387942626624837</v>
      </c>
      <c r="T13" s="46"/>
      <c r="U13" s="8"/>
      <c r="V13" s="8"/>
      <c r="W13" s="8"/>
      <c r="X13" s="8"/>
    </row>
    <row r="14" spans="1:24" x14ac:dyDescent="0.3">
      <c r="A14" s="6" t="s">
        <v>99</v>
      </c>
      <c r="B14" s="11">
        <f>Historical_FS!B40</f>
        <v>1928</v>
      </c>
      <c r="C14" s="11">
        <f>Historical_FS!C40</f>
        <v>885</v>
      </c>
      <c r="D14" s="11">
        <f>Historical_FS!D40</f>
        <v>1560</v>
      </c>
      <c r="E14" s="11">
        <f>Historical_FS!E40</f>
        <v>1125</v>
      </c>
      <c r="F14" s="11">
        <f>Historical_FS!F40</f>
        <v>278</v>
      </c>
      <c r="G14" s="11">
        <f>Historical_FS!G40</f>
        <v>305</v>
      </c>
      <c r="H14" s="11">
        <f>Historical_FS!H40</f>
        <v>3</v>
      </c>
      <c r="I14" s="11">
        <f>Historical_FS!I40</f>
        <v>16</v>
      </c>
      <c r="J14" s="11">
        <f>Historical_FS!J40</f>
        <v>15</v>
      </c>
      <c r="K14" s="11">
        <f>Historical_FS!K40</f>
        <v>13</v>
      </c>
      <c r="L14" s="45">
        <f>$S$106</f>
        <v>12</v>
      </c>
      <c r="M14" s="45">
        <f t="shared" ref="M14:P14" si="9">(L14*(1+M15))</f>
        <v>12</v>
      </c>
      <c r="N14" s="45">
        <f t="shared" si="9"/>
        <v>12</v>
      </c>
      <c r="O14" s="45">
        <f t="shared" si="9"/>
        <v>12</v>
      </c>
      <c r="P14" s="45">
        <f t="shared" si="9"/>
        <v>12</v>
      </c>
      <c r="Q14" s="46"/>
      <c r="R14" s="46"/>
      <c r="S14" s="25"/>
      <c r="T14" s="46"/>
      <c r="U14" s="8"/>
      <c r="V14" s="8"/>
      <c r="W14" s="8"/>
      <c r="X14" s="8"/>
    </row>
    <row r="15" spans="1:24" x14ac:dyDescent="0.3">
      <c r="A15" s="6" t="s">
        <v>100</v>
      </c>
      <c r="B15" s="46"/>
      <c r="C15" s="27">
        <f>IFERROR(C14/B14-1,"")</f>
        <v>-0.54097510373443991</v>
      </c>
      <c r="D15" s="27">
        <f t="shared" ref="D15:K15" si="10">IFERROR(D14/C14-1,"")</f>
        <v>0.76271186440677963</v>
      </c>
      <c r="E15" s="27">
        <f t="shared" si="10"/>
        <v>-0.27884615384615385</v>
      </c>
      <c r="F15" s="27">
        <f t="shared" si="10"/>
        <v>-0.75288888888888894</v>
      </c>
      <c r="G15" s="27">
        <f t="shared" si="10"/>
        <v>9.7122302158273444E-2</v>
      </c>
      <c r="H15" s="27">
        <f t="shared" si="10"/>
        <v>-0.99016393442622952</v>
      </c>
      <c r="I15" s="27">
        <f>IFERROR(I14/H14-1,"")</f>
        <v>4.333333333333333</v>
      </c>
      <c r="J15" s="27">
        <f t="shared" si="10"/>
        <v>-6.25E-2</v>
      </c>
      <c r="K15" s="27">
        <f t="shared" si="10"/>
        <v>-0.1333333333333333</v>
      </c>
      <c r="L15" s="27">
        <f>L14/K14-1</f>
        <v>-7.6923076923076872E-2</v>
      </c>
      <c r="M15" s="87">
        <v>0</v>
      </c>
      <c r="N15" s="87">
        <v>0</v>
      </c>
      <c r="O15" s="87">
        <v>0</v>
      </c>
      <c r="P15" s="87">
        <v>0</v>
      </c>
      <c r="Q15" s="46"/>
      <c r="R15" s="38" t="s">
        <v>109</v>
      </c>
      <c r="S15" s="27">
        <f>AVERAGE(J6:K6)</f>
        <v>0.18935903334120174</v>
      </c>
      <c r="T15" s="46"/>
      <c r="U15" s="8"/>
      <c r="V15" s="8"/>
      <c r="W15" s="8"/>
      <c r="X15" s="8"/>
    </row>
    <row r="16" spans="1:24" x14ac:dyDescent="0.3">
      <c r="A16" s="8"/>
      <c r="B16" s="46"/>
      <c r="C16" s="46"/>
      <c r="D16" s="46"/>
      <c r="E16" s="46"/>
      <c r="F16" s="46"/>
      <c r="G16" s="46"/>
      <c r="H16" s="46"/>
      <c r="I16" s="46"/>
      <c r="J16" s="46"/>
      <c r="K16" s="46"/>
      <c r="L16" s="46"/>
      <c r="M16" s="46"/>
      <c r="N16" s="46"/>
      <c r="O16" s="46"/>
      <c r="P16" s="46"/>
      <c r="Q16" s="46"/>
      <c r="R16" s="38" t="s">
        <v>115</v>
      </c>
      <c r="S16" s="27">
        <f>AVERAGE(J9:K9)</f>
        <v>8.2217077993429588E-2</v>
      </c>
      <c r="T16" s="46"/>
      <c r="U16" s="8"/>
      <c r="V16" s="8"/>
      <c r="W16" s="8"/>
      <c r="X16" s="8"/>
    </row>
    <row r="17" spans="1:24" x14ac:dyDescent="0.3">
      <c r="A17" s="6" t="s">
        <v>41</v>
      </c>
      <c r="B17" s="11">
        <f>Historical_FS!B42</f>
        <v>13783</v>
      </c>
      <c r="C17" s="11">
        <f>Historical_FS!C42</f>
        <v>13671</v>
      </c>
      <c r="D17" s="11">
        <f>Historical_FS!D42</f>
        <v>15067</v>
      </c>
      <c r="E17" s="11">
        <f>Historical_FS!E42</f>
        <v>15450</v>
      </c>
      <c r="F17" s="11">
        <f>Historical_FS!F42</f>
        <v>11430</v>
      </c>
      <c r="G17" s="11">
        <f>Historical_FS!G42</f>
        <v>10947</v>
      </c>
      <c r="H17" s="11">
        <f>Historical_FS!H42</f>
        <v>12691</v>
      </c>
      <c r="I17" s="11">
        <f>Historical_FS!I42</f>
        <v>15409</v>
      </c>
      <c r="J17" s="11">
        <f>Historical_FS!J42</f>
        <v>17848</v>
      </c>
      <c r="K17" s="11">
        <f>Historical_FS!K42</f>
        <v>20059</v>
      </c>
      <c r="L17" s="45">
        <f>SUM(L5,L8,L11,L14)</f>
        <v>23684.54683480948</v>
      </c>
      <c r="M17" s="45">
        <f t="shared" ref="M17:P17" si="11">SUM(M5,M8,M11,M14)</f>
        <v>26325.010676225676</v>
      </c>
      <c r="N17" s="45">
        <f t="shared" si="11"/>
        <v>28811.767378259858</v>
      </c>
      <c r="O17" s="45">
        <f t="shared" si="11"/>
        <v>31037.626045854115</v>
      </c>
      <c r="P17" s="45">
        <f t="shared" si="11"/>
        <v>32905.411996171002</v>
      </c>
      <c r="Q17" s="46"/>
      <c r="R17" s="38" t="s">
        <v>116</v>
      </c>
      <c r="S17" s="27">
        <f>AVERAGE(J12:K12)</f>
        <v>0.11088004551513964</v>
      </c>
      <c r="T17" s="46"/>
      <c r="U17" s="8"/>
      <c r="V17" s="8"/>
      <c r="W17" s="8"/>
      <c r="X17" s="8"/>
    </row>
    <row r="18" spans="1:24" x14ac:dyDescent="0.3">
      <c r="A18" s="6" t="s">
        <v>100</v>
      </c>
      <c r="B18" s="46"/>
      <c r="C18" s="27">
        <f>IFERROR(C17/B17-1,"")</f>
        <v>-8.1259522600304335E-3</v>
      </c>
      <c r="D18" s="27">
        <f t="shared" ref="D18:K18" si="12">IFERROR(D17/C17-1,"")</f>
        <v>0.10211396386511584</v>
      </c>
      <c r="E18" s="27">
        <f t="shared" si="12"/>
        <v>2.5419791597530939E-2</v>
      </c>
      <c r="F18" s="27">
        <f t="shared" si="12"/>
        <v>-0.26019417475728157</v>
      </c>
      <c r="G18" s="27">
        <f t="shared" si="12"/>
        <v>-4.2257217847769035E-2</v>
      </c>
      <c r="H18" s="27">
        <f t="shared" si="12"/>
        <v>0.1593130538046954</v>
      </c>
      <c r="I18" s="27">
        <f t="shared" si="12"/>
        <v>0.21416752028996933</v>
      </c>
      <c r="J18" s="27">
        <f t="shared" si="12"/>
        <v>0.15828411967032263</v>
      </c>
      <c r="K18" s="27">
        <f t="shared" si="12"/>
        <v>0.12387942626624837</v>
      </c>
      <c r="L18" s="27">
        <f>L17/K17-1</f>
        <v>0.18074414650827464</v>
      </c>
      <c r="M18" s="27">
        <f t="shared" ref="M18:P18" si="13">M17/L17-1</f>
        <v>0.11148466803407331</v>
      </c>
      <c r="N18" s="27">
        <f t="shared" si="13"/>
        <v>9.4463654074791625E-2</v>
      </c>
      <c r="O18" s="27">
        <f t="shared" si="13"/>
        <v>7.7255193628759988E-2</v>
      </c>
      <c r="P18" s="27">
        <f t="shared" si="13"/>
        <v>6.0178118892130206E-2</v>
      </c>
      <c r="Q18" s="46"/>
      <c r="R18" s="38" t="s">
        <v>117</v>
      </c>
      <c r="S18" s="27">
        <f>AVERAGE(J18:K18)</f>
        <v>0.1410817729682855</v>
      </c>
      <c r="T18" s="46"/>
      <c r="U18" s="8"/>
      <c r="V18" s="8"/>
      <c r="W18" s="8"/>
      <c r="X18" s="8"/>
    </row>
    <row r="19" spans="1:24" x14ac:dyDescent="0.3">
      <c r="A19" s="8"/>
      <c r="B19" s="46"/>
      <c r="C19" s="46"/>
      <c r="D19" s="46"/>
      <c r="E19" s="46"/>
      <c r="F19" s="46"/>
      <c r="G19" s="46"/>
      <c r="H19" s="46"/>
      <c r="I19" s="46"/>
      <c r="J19" s="46"/>
      <c r="K19" s="46"/>
      <c r="L19" s="46"/>
      <c r="M19" s="46"/>
      <c r="N19" s="46"/>
      <c r="O19" s="46"/>
      <c r="P19" s="46"/>
      <c r="Q19" s="46"/>
      <c r="R19" s="46"/>
      <c r="S19" s="25"/>
      <c r="T19" s="46"/>
      <c r="U19" s="8"/>
      <c r="V19" s="8"/>
      <c r="W19" s="8"/>
      <c r="X19" s="8"/>
    </row>
    <row r="20" spans="1:24" x14ac:dyDescent="0.3">
      <c r="A20" s="8"/>
      <c r="B20" s="46"/>
      <c r="C20" s="46"/>
      <c r="D20" s="46"/>
      <c r="E20" s="46"/>
      <c r="F20" s="46"/>
      <c r="G20" s="46"/>
      <c r="H20" s="46"/>
      <c r="I20" s="46"/>
      <c r="J20" s="46"/>
      <c r="K20" s="46"/>
      <c r="L20" s="46"/>
      <c r="M20" s="46"/>
      <c r="N20" s="46"/>
      <c r="O20" s="46"/>
      <c r="P20" s="46"/>
      <c r="Q20" s="46"/>
      <c r="R20" s="84" t="s">
        <v>118</v>
      </c>
      <c r="S20" s="85"/>
      <c r="T20" s="46"/>
      <c r="U20" s="8"/>
      <c r="V20" s="8"/>
      <c r="W20" s="8"/>
      <c r="X20" s="8"/>
    </row>
    <row r="21" spans="1:24" x14ac:dyDescent="0.3">
      <c r="A21" s="74" t="s">
        <v>126</v>
      </c>
      <c r="B21" s="82"/>
      <c r="C21" s="82"/>
      <c r="D21" s="82"/>
      <c r="E21" s="82"/>
      <c r="F21" s="82"/>
      <c r="G21" s="82"/>
      <c r="H21" s="82"/>
      <c r="I21" s="82"/>
      <c r="J21" s="82"/>
      <c r="K21" s="82"/>
      <c r="L21" s="82"/>
      <c r="M21" s="82"/>
      <c r="N21" s="82"/>
      <c r="O21" s="82"/>
      <c r="P21" s="82"/>
      <c r="Q21" s="46"/>
      <c r="R21" s="38" t="s">
        <v>119</v>
      </c>
      <c r="S21" s="27">
        <f>MIN(S10,S15)</f>
        <v>0.14845132743362832</v>
      </c>
      <c r="T21" s="46"/>
      <c r="U21" s="8"/>
      <c r="V21" s="8"/>
      <c r="W21" s="8"/>
      <c r="X21" s="8"/>
    </row>
    <row r="22" spans="1:24" x14ac:dyDescent="0.3">
      <c r="A22" s="6" t="s">
        <v>128</v>
      </c>
      <c r="B22" s="13">
        <f>Historical_FS!B47</f>
        <v>5.1931512664496957E-2</v>
      </c>
      <c r="C22" s="13">
        <f>Historical_FS!C47</f>
        <v>-5.1985450136404973E-2</v>
      </c>
      <c r="D22" s="13">
        <f>Historical_FS!D47</f>
        <v>-2.1957169964760097E-2</v>
      </c>
      <c r="E22" s="13">
        <f>Historical_FS!E47</f>
        <v>5.4274084124830389E-3</v>
      </c>
      <c r="F22" s="13">
        <f>Historical_FS!F47</f>
        <v>-0.50019731649565902</v>
      </c>
      <c r="G22" s="13">
        <f>Historical_FS!G47</f>
        <v>-3.7918871252204583E-2</v>
      </c>
      <c r="H22" s="13">
        <f>Historical_FS!H47</f>
        <v>2.5149489975378123E-2</v>
      </c>
      <c r="I22" s="13">
        <f>Historical_FS!I47</f>
        <v>0.11567773543821448</v>
      </c>
      <c r="J22" s="13">
        <f>Historical_FS!J47</f>
        <v>0.16648230088495575</v>
      </c>
      <c r="K22" s="13">
        <f>Historical_FS!K47</f>
        <v>0.20516278173762281</v>
      </c>
      <c r="L22" s="27">
        <f>$S$123/$S$103</f>
        <v>0.23633904322987537</v>
      </c>
      <c r="M22" s="27">
        <f>$S$110</f>
        <v>0.22</v>
      </c>
      <c r="N22" s="27">
        <f t="shared" ref="N22:P22" si="14">$S$110</f>
        <v>0.22</v>
      </c>
      <c r="O22" s="27">
        <f t="shared" si="14"/>
        <v>0.22</v>
      </c>
      <c r="P22" s="27">
        <f t="shared" si="14"/>
        <v>0.22</v>
      </c>
      <c r="Q22" s="46"/>
      <c r="R22" s="38" t="s">
        <v>120</v>
      </c>
      <c r="S22" s="27">
        <f>AVERAGE(S6,S16)</f>
        <v>8.7339677830525819E-2</v>
      </c>
      <c r="T22" s="46"/>
      <c r="U22" s="8"/>
      <c r="V22" s="8"/>
      <c r="W22" s="8"/>
      <c r="X22" s="8"/>
    </row>
    <row r="23" spans="1:24" x14ac:dyDescent="0.3">
      <c r="A23" s="6" t="s">
        <v>129</v>
      </c>
      <c r="B23" s="13">
        <f>Historical_FS!B49</f>
        <v>0.17383431416930739</v>
      </c>
      <c r="C23" s="13">
        <f>Historical_FS!C49</f>
        <v>0.14276729559748427</v>
      </c>
      <c r="D23" s="13">
        <f>Historical_FS!D49</f>
        <v>0.13668373879641485</v>
      </c>
      <c r="E23" s="13">
        <f>Historical_FS!E49</f>
        <v>0.12769230769230769</v>
      </c>
      <c r="F23" s="13">
        <f>Historical_FS!F49</f>
        <v>0.13740685543964232</v>
      </c>
      <c r="G23" s="13">
        <f>Historical_FS!G49</f>
        <v>0.13568883610451307</v>
      </c>
      <c r="H23" s="13">
        <f>Historical_FS!H49</f>
        <v>0.11803278688524591</v>
      </c>
      <c r="I23" s="13">
        <f>Historical_FS!I49</f>
        <v>0.13784645572725043</v>
      </c>
      <c r="J23" s="13">
        <f>Historical_FS!J49</f>
        <v>0.14241486068111456</v>
      </c>
      <c r="K23" s="13">
        <f>Historical_FS!K49</f>
        <v>0.14438390611902766</v>
      </c>
      <c r="L23" s="27">
        <f>$S$124/$S$104</f>
        <v>0.17842666493062248</v>
      </c>
      <c r="M23" s="27">
        <f>$S$111</f>
        <v>0.15000000000000002</v>
      </c>
      <c r="N23" s="27">
        <f t="shared" ref="N23:P23" si="15">$S$111</f>
        <v>0.15000000000000002</v>
      </c>
      <c r="O23" s="27">
        <f t="shared" si="15"/>
        <v>0.15000000000000002</v>
      </c>
      <c r="P23" s="27">
        <f t="shared" si="15"/>
        <v>0.15000000000000002</v>
      </c>
      <c r="Q23" s="46"/>
      <c r="R23" s="38" t="s">
        <v>121</v>
      </c>
      <c r="S23" s="27">
        <f>AVERAGE(S7,S17)</f>
        <v>0.12287170796522379</v>
      </c>
      <c r="T23" s="46"/>
      <c r="U23" s="8"/>
      <c r="V23" s="8"/>
      <c r="W23" s="8"/>
      <c r="X23" s="8"/>
    </row>
    <row r="24" spans="1:24" x14ac:dyDescent="0.3">
      <c r="A24" s="6" t="s">
        <v>130</v>
      </c>
      <c r="B24" s="13">
        <f>Historical_FS!B51</f>
        <v>7.1939736346516014E-2</v>
      </c>
      <c r="C24" s="13">
        <f>Historical_FS!C51</f>
        <v>8.6768617021276598E-2</v>
      </c>
      <c r="D24" s="13">
        <f>Historical_FS!D51</f>
        <v>9.1729761211415253E-2</v>
      </c>
      <c r="E24" s="13">
        <f>Historical_FS!E51</f>
        <v>0.10352609308885755</v>
      </c>
      <c r="F24" s="13">
        <f>Historical_FS!F51</f>
        <v>6.873857404021938E-2</v>
      </c>
      <c r="G24" s="13">
        <f>Historical_FS!G51</f>
        <v>8.8032011640596583E-2</v>
      </c>
      <c r="H24" s="13">
        <f>Historical_FS!H51</f>
        <v>8.3955781296683601E-2</v>
      </c>
      <c r="I24" s="13">
        <f>Historical_FS!I51</f>
        <v>0.10408266129032258</v>
      </c>
      <c r="J24" s="13">
        <f>Historical_FS!J51</f>
        <v>0.1311168344649965</v>
      </c>
      <c r="K24" s="13">
        <f>Historical_FS!K51</f>
        <v>0.17416189697465248</v>
      </c>
      <c r="L24" s="27">
        <f>$S$125/$S$105</f>
        <v>0.19572690285046321</v>
      </c>
      <c r="M24" s="27">
        <f>$S$112</f>
        <v>0.19</v>
      </c>
      <c r="N24" s="27">
        <f t="shared" ref="N24:P24" si="16">$S$112</f>
        <v>0.19</v>
      </c>
      <c r="O24" s="27">
        <f t="shared" si="16"/>
        <v>0.19</v>
      </c>
      <c r="P24" s="27">
        <f t="shared" si="16"/>
        <v>0.19</v>
      </c>
      <c r="Q24" s="46"/>
      <c r="R24" s="46"/>
      <c r="S24" s="25"/>
      <c r="T24" s="46"/>
      <c r="U24" s="8"/>
      <c r="V24" s="8"/>
      <c r="W24" s="8"/>
      <c r="X24" s="8"/>
    </row>
    <row r="25" spans="1:24" x14ac:dyDescent="0.3">
      <c r="A25" s="6" t="s">
        <v>131</v>
      </c>
      <c r="B25" s="13">
        <f>Historical_FS!B11</f>
        <v>6.6386127838641812E-2</v>
      </c>
      <c r="C25" s="13">
        <f>Historical_FS!C11</f>
        <v>2.2383146807109941E-2</v>
      </c>
      <c r="D25" s="13">
        <f>Historical_FS!D11</f>
        <v>4.0884051237804475E-2</v>
      </c>
      <c r="E25" s="13">
        <f>Historical_FS!E11</f>
        <v>5.2297734627831716E-2</v>
      </c>
      <c r="F25" s="13">
        <f>Historical_FS!F11</f>
        <v>-0.17567804024496939</v>
      </c>
      <c r="G25" s="13">
        <f>Historical_FS!G11</f>
        <v>3.7818580432995338E-2</v>
      </c>
      <c r="H25" s="13">
        <f>Historical_FS!H11</f>
        <v>5.1374990150500358E-2</v>
      </c>
      <c r="I25" s="13">
        <f>Historical_FS!I11</f>
        <v>0.10318644947757803</v>
      </c>
      <c r="J25" s="13">
        <f>Historical_FS!J11</f>
        <v>0.13805468399820708</v>
      </c>
      <c r="K25" s="13">
        <f>Historical_FS!K11</f>
        <v>0.1725908569719328</v>
      </c>
      <c r="L25" s="25"/>
      <c r="M25" s="25"/>
      <c r="N25" s="25"/>
      <c r="O25" s="25"/>
      <c r="P25" s="25"/>
      <c r="Q25" s="46"/>
      <c r="R25" s="38" t="s">
        <v>122</v>
      </c>
      <c r="S25" s="27">
        <f>(K5/B5)^(1/9)-1</f>
        <v>4.3663894298670902E-2</v>
      </c>
      <c r="T25" s="46"/>
      <c r="U25" s="8"/>
      <c r="V25" s="8"/>
      <c r="W25" s="8"/>
      <c r="X25" s="8"/>
    </row>
    <row r="26" spans="1:24" x14ac:dyDescent="0.3">
      <c r="A26" s="8"/>
      <c r="B26" s="46"/>
      <c r="C26" s="46"/>
      <c r="D26" s="46"/>
      <c r="E26" s="46"/>
      <c r="F26" s="46"/>
      <c r="G26" s="46"/>
      <c r="H26" s="46"/>
      <c r="I26" s="46"/>
      <c r="J26" s="46"/>
      <c r="K26" s="46"/>
      <c r="L26" s="46"/>
      <c r="M26" s="46"/>
      <c r="N26" s="46"/>
      <c r="O26" s="46"/>
      <c r="P26" s="46"/>
      <c r="Q26" s="46"/>
      <c r="R26" s="38" t="s">
        <v>123</v>
      </c>
      <c r="S26" s="27">
        <f>(K8/B8)^(1/9)-1</f>
        <v>8.9349381126622607E-2</v>
      </c>
      <c r="T26" s="46"/>
      <c r="U26" s="8"/>
      <c r="V26" s="8"/>
      <c r="W26" s="8"/>
      <c r="X26" s="8"/>
    </row>
    <row r="27" spans="1:24" x14ac:dyDescent="0.3">
      <c r="A27" s="74" t="s">
        <v>134</v>
      </c>
      <c r="B27" s="82"/>
      <c r="C27" s="82"/>
      <c r="D27" s="82"/>
      <c r="E27" s="82"/>
      <c r="F27" s="82"/>
      <c r="G27" s="82"/>
      <c r="H27" s="82"/>
      <c r="I27" s="82"/>
      <c r="J27" s="82"/>
      <c r="K27" s="82"/>
      <c r="L27" s="82"/>
      <c r="M27" s="82"/>
      <c r="N27" s="82"/>
      <c r="O27" s="82"/>
      <c r="P27" s="82"/>
      <c r="Q27" s="46"/>
      <c r="R27" s="38" t="s">
        <v>124</v>
      </c>
      <c r="S27" s="27">
        <f>(K11/B11)^(1/9)-1</f>
        <v>7.0265003671730275E-2</v>
      </c>
      <c r="T27" s="46"/>
      <c r="U27" s="8"/>
      <c r="V27" s="8"/>
      <c r="W27" s="8"/>
      <c r="X27" s="8"/>
    </row>
    <row r="28" spans="1:24" x14ac:dyDescent="0.3">
      <c r="A28" s="6" t="s">
        <v>43</v>
      </c>
      <c r="B28" s="11">
        <f>Historical_FS!B46</f>
        <v>367</v>
      </c>
      <c r="C28" s="11">
        <f>Historical_FS!C46</f>
        <v>-343</v>
      </c>
      <c r="D28" s="11">
        <f>Historical_FS!D46</f>
        <v>-162</v>
      </c>
      <c r="E28" s="11">
        <f>Historical_FS!E46</f>
        <v>44</v>
      </c>
      <c r="F28" s="11">
        <f>Historical_FS!F46</f>
        <v>-2535</v>
      </c>
      <c r="G28" s="11">
        <f>Historical_FS!G46</f>
        <v>-172</v>
      </c>
      <c r="H28" s="11">
        <f>Historical_FS!H46</f>
        <v>143</v>
      </c>
      <c r="I28" s="11">
        <f>Historical_FS!I46</f>
        <v>850</v>
      </c>
      <c r="J28" s="11">
        <f>Historical_FS!J46</f>
        <v>1505</v>
      </c>
      <c r="K28" s="11">
        <f>Historical_FS!K46</f>
        <v>2130</v>
      </c>
      <c r="L28" s="45">
        <f>$S$123</f>
        <v>2980.8813982300885</v>
      </c>
      <c r="M28" s="45">
        <f t="shared" ref="M28:P28" si="17">M5*M22</f>
        <v>3114.0332701670777</v>
      </c>
      <c r="N28" s="45">
        <f t="shared" si="17"/>
        <v>3413.1598662570304</v>
      </c>
      <c r="O28" s="45">
        <f t="shared" si="17"/>
        <v>3651.6057831978246</v>
      </c>
      <c r="P28" s="45">
        <f t="shared" si="17"/>
        <v>3811.0491121357895</v>
      </c>
      <c r="Q28" s="46"/>
      <c r="R28" s="38" t="s">
        <v>125</v>
      </c>
      <c r="S28" s="27">
        <f>(K17/B17)^(1/9)-1</f>
        <v>4.2574936424716547E-2</v>
      </c>
      <c r="T28" s="46"/>
      <c r="U28" s="8"/>
      <c r="V28" s="8"/>
      <c r="W28" s="8"/>
      <c r="X28" s="8"/>
    </row>
    <row r="29" spans="1:24" x14ac:dyDescent="0.3">
      <c r="A29" s="6" t="s">
        <v>45</v>
      </c>
      <c r="B29" s="11">
        <f>Historical_FS!B48</f>
        <v>384</v>
      </c>
      <c r="C29" s="11">
        <f>Historical_FS!C48</f>
        <v>454</v>
      </c>
      <c r="D29" s="11">
        <f>Historical_FS!D48</f>
        <v>427</v>
      </c>
      <c r="E29" s="11">
        <f>Historical_FS!E48</f>
        <v>415</v>
      </c>
      <c r="F29" s="11">
        <f>Historical_FS!F48</f>
        <v>461</v>
      </c>
      <c r="G29" s="11">
        <f>Historical_FS!G48</f>
        <v>457</v>
      </c>
      <c r="H29" s="11">
        <f>Historical_FS!H48</f>
        <v>432</v>
      </c>
      <c r="I29" s="11">
        <f>Historical_FS!I48</f>
        <v>562</v>
      </c>
      <c r="J29" s="11">
        <f>Historical_FS!J48</f>
        <v>644</v>
      </c>
      <c r="K29" s="11">
        <f>Historical_FS!K48</f>
        <v>689</v>
      </c>
      <c r="L29" s="45">
        <f>$S$124</f>
        <v>937.74432581850169</v>
      </c>
      <c r="M29" s="45">
        <f t="shared" ref="M29:P29" si="18">M8*M23</f>
        <v>857.59414980252689</v>
      </c>
      <c r="N29" s="45">
        <f t="shared" si="18"/>
        <v>933.35790145040914</v>
      </c>
      <c r="O29" s="45">
        <f t="shared" si="18"/>
        <v>1016.2839092019007</v>
      </c>
      <c r="P29" s="45">
        <f t="shared" si="18"/>
        <v>1107.0882475380351</v>
      </c>
      <c r="Q29" s="46"/>
      <c r="R29" s="46"/>
      <c r="S29" s="25"/>
      <c r="T29" s="46"/>
      <c r="U29" s="8"/>
      <c r="V29" s="8"/>
      <c r="W29" s="8"/>
      <c r="X29" s="8"/>
    </row>
    <row r="30" spans="1:24" x14ac:dyDescent="0.3">
      <c r="A30" s="6" t="s">
        <v>47</v>
      </c>
      <c r="B30" s="11">
        <f>Historical_FS!B50</f>
        <v>191</v>
      </c>
      <c r="C30" s="11">
        <f>Historical_FS!C50</f>
        <v>261</v>
      </c>
      <c r="D30" s="11">
        <f>Historical_FS!D50</f>
        <v>315</v>
      </c>
      <c r="E30" s="11">
        <f>Historical_FS!E50</f>
        <v>367</v>
      </c>
      <c r="F30" s="11">
        <f>Historical_FS!F50</f>
        <v>188</v>
      </c>
      <c r="G30" s="11">
        <f>Historical_FS!G50</f>
        <v>242</v>
      </c>
      <c r="H30" s="11">
        <f>Historical_FS!H50</f>
        <v>281</v>
      </c>
      <c r="I30" s="11">
        <f>Historical_FS!I50</f>
        <v>413</v>
      </c>
      <c r="J30" s="11">
        <f>Historical_FS!J50</f>
        <v>560</v>
      </c>
      <c r="K30" s="11">
        <f>Historical_FS!K50</f>
        <v>852</v>
      </c>
      <c r="L30" s="45">
        <f>$S$125</f>
        <v>1136.0350298631688</v>
      </c>
      <c r="M30" s="45">
        <f t="shared" ref="M30:P30" si="19">M11*M24</f>
        <v>1223.7937357099295</v>
      </c>
      <c r="N30" s="45">
        <f t="shared" si="19"/>
        <v>1341.9734846283893</v>
      </c>
      <c r="O30" s="45">
        <f t="shared" si="19"/>
        <v>1453.9164570220564</v>
      </c>
      <c r="P30" s="45">
        <f t="shared" si="19"/>
        <v>1556.0759022131003</v>
      </c>
      <c r="Q30" s="46"/>
      <c r="R30" s="84" t="s">
        <v>132</v>
      </c>
      <c r="S30" s="85"/>
      <c r="T30" s="46"/>
      <c r="U30" s="8"/>
      <c r="V30" s="8"/>
      <c r="W30" s="8"/>
      <c r="X30" s="8"/>
    </row>
    <row r="31" spans="1:24" x14ac:dyDescent="0.3">
      <c r="A31" s="6" t="s">
        <v>93</v>
      </c>
      <c r="B31" s="11">
        <f>Historical_FS!B52</f>
        <v>-27</v>
      </c>
      <c r="C31" s="11">
        <f>Historical_FS!C52</f>
        <v>-66</v>
      </c>
      <c r="D31" s="11">
        <f>Historical_FS!D52</f>
        <v>36</v>
      </c>
      <c r="E31" s="11">
        <f>Historical_FS!E52</f>
        <v>-18</v>
      </c>
      <c r="F31" s="11">
        <f>Historical_FS!F52</f>
        <v>-122</v>
      </c>
      <c r="G31" s="11">
        <f>Historical_FS!G52</f>
        <v>-113</v>
      </c>
      <c r="H31" s="11">
        <f>Historical_FS!H52</f>
        <v>-204</v>
      </c>
      <c r="I31" s="11">
        <f>Historical_FS!I52</f>
        <v>-235</v>
      </c>
      <c r="J31" s="11">
        <f>Historical_FS!J52</f>
        <v>-245</v>
      </c>
      <c r="K31" s="11">
        <f>Historical_FS!K52</f>
        <v>-209</v>
      </c>
      <c r="L31" s="45">
        <f>$S$126</f>
        <v>-177</v>
      </c>
      <c r="M31" s="45">
        <f>$L31</f>
        <v>-177</v>
      </c>
      <c r="N31" s="45">
        <f>$L31</f>
        <v>-177</v>
      </c>
      <c r="O31" s="45">
        <f t="shared" ref="O31:P31" si="20">$L31</f>
        <v>-177</v>
      </c>
      <c r="P31" s="45">
        <f t="shared" si="20"/>
        <v>-177</v>
      </c>
      <c r="Q31" s="46"/>
      <c r="R31" s="38" t="s">
        <v>133</v>
      </c>
      <c r="S31" s="27">
        <f>AVERAGE(21%,23%)</f>
        <v>0.22</v>
      </c>
      <c r="T31" s="46"/>
      <c r="U31" s="8"/>
      <c r="V31" s="8"/>
      <c r="W31" s="8"/>
      <c r="X31" s="8"/>
    </row>
    <row r="32" spans="1:24" x14ac:dyDescent="0.3">
      <c r="A32" s="6" t="s">
        <v>135</v>
      </c>
      <c r="B32" s="11">
        <f>Historical_FS!B10</f>
        <v>915</v>
      </c>
      <c r="C32" s="11">
        <f>Historical_FS!C10</f>
        <v>306</v>
      </c>
      <c r="D32" s="11">
        <f>Historical_FS!D10</f>
        <v>616</v>
      </c>
      <c r="E32" s="11">
        <f>Historical_FS!E10</f>
        <v>808</v>
      </c>
      <c r="F32" s="11">
        <f>Historical_FS!F10</f>
        <v>-2008</v>
      </c>
      <c r="G32" s="11">
        <f>Historical_FS!G10</f>
        <v>414</v>
      </c>
      <c r="H32" s="11">
        <f>Historical_FS!H10</f>
        <v>652</v>
      </c>
      <c r="I32" s="11">
        <f>Historical_FS!I10</f>
        <v>1590</v>
      </c>
      <c r="J32" s="11">
        <f>Historical_FS!J10</f>
        <v>2464</v>
      </c>
      <c r="K32" s="11">
        <f>Historical_FS!K10</f>
        <v>3462</v>
      </c>
      <c r="L32" s="45">
        <f>SUM(L28:L31)</f>
        <v>4877.6607539117595</v>
      </c>
      <c r="M32" s="45">
        <f t="shared" ref="M32" si="21">SUM(M28:M31)</f>
        <v>5018.4211556795344</v>
      </c>
      <c r="N32" s="45">
        <f t="shared" ref="N32" si="22">SUM(N28:N31)</f>
        <v>5511.4912523358289</v>
      </c>
      <c r="O32" s="45">
        <f t="shared" ref="O32" si="23">SUM(O28:O31)</f>
        <v>5944.8061494217818</v>
      </c>
      <c r="P32" s="45">
        <f t="shared" ref="P32" si="24">SUM(P28:P31)</f>
        <v>6297.2132618869255</v>
      </c>
      <c r="Q32" s="46"/>
      <c r="R32" s="38" t="s">
        <v>111</v>
      </c>
      <c r="S32" s="27">
        <f>AVERAGE(14%,16%)</f>
        <v>0.15000000000000002</v>
      </c>
      <c r="T32" s="46"/>
      <c r="U32" s="8"/>
      <c r="V32" s="8"/>
      <c r="W32" s="8"/>
      <c r="X32" s="8"/>
    </row>
    <row r="33" spans="1:24" x14ac:dyDescent="0.3">
      <c r="A33" s="6" t="s">
        <v>131</v>
      </c>
      <c r="B33" s="27">
        <f>IFERROR(B32/B17,"")</f>
        <v>6.6386127838641812E-2</v>
      </c>
      <c r="C33" s="27">
        <f t="shared" ref="C33:K33" si="25">IFERROR(C32/C17,"")</f>
        <v>2.2383146807109941E-2</v>
      </c>
      <c r="D33" s="27">
        <f t="shared" si="25"/>
        <v>4.0884051237804475E-2</v>
      </c>
      <c r="E33" s="27">
        <f t="shared" si="25"/>
        <v>5.2297734627831716E-2</v>
      </c>
      <c r="F33" s="27">
        <f t="shared" si="25"/>
        <v>-0.17567804024496939</v>
      </c>
      <c r="G33" s="27">
        <f t="shared" si="25"/>
        <v>3.7818580432995338E-2</v>
      </c>
      <c r="H33" s="27">
        <f t="shared" si="25"/>
        <v>5.1374990150500358E-2</v>
      </c>
      <c r="I33" s="27">
        <f t="shared" si="25"/>
        <v>0.10318644947757803</v>
      </c>
      <c r="J33" s="27">
        <f t="shared" si="25"/>
        <v>0.13805468399820708</v>
      </c>
      <c r="K33" s="27">
        <f t="shared" si="25"/>
        <v>0.1725908569719328</v>
      </c>
      <c r="L33" s="27">
        <f>IFERROR(L32/L17,"")</f>
        <v>0.20594275195263603</v>
      </c>
      <c r="M33" s="27">
        <f t="shared" ref="M33:P33" si="26">IFERROR(M32/M17,"")</f>
        <v>0.19063320495484964</v>
      </c>
      <c r="N33" s="27">
        <f t="shared" si="26"/>
        <v>0.19129306369780588</v>
      </c>
      <c r="O33" s="27">
        <f t="shared" si="26"/>
        <v>0.1915354653941346</v>
      </c>
      <c r="P33" s="27">
        <f t="shared" si="26"/>
        <v>0.19137317784137434</v>
      </c>
      <c r="Q33" s="46"/>
      <c r="R33" s="38" t="s">
        <v>98</v>
      </c>
      <c r="S33" s="27">
        <f>AVERAGE(18%,20%)</f>
        <v>0.19</v>
      </c>
      <c r="T33" s="46"/>
      <c r="U33" s="8"/>
      <c r="V33" s="8"/>
      <c r="W33" s="8"/>
      <c r="X33" s="8"/>
    </row>
    <row r="34" spans="1:24" x14ac:dyDescent="0.3">
      <c r="A34" s="8"/>
      <c r="B34" s="46"/>
      <c r="C34" s="46"/>
      <c r="D34" s="46"/>
      <c r="E34" s="46"/>
      <c r="F34" s="46"/>
      <c r="G34" s="46"/>
      <c r="H34" s="46"/>
      <c r="I34" s="46"/>
      <c r="J34" s="46"/>
      <c r="K34" s="46"/>
      <c r="L34" s="46"/>
      <c r="M34" s="46"/>
      <c r="N34" s="46"/>
      <c r="O34" s="46"/>
      <c r="P34" s="46"/>
      <c r="Q34" s="46"/>
      <c r="R34" s="38" t="s">
        <v>107</v>
      </c>
      <c r="S34" s="27">
        <f>AVERAGE(18%,20%)</f>
        <v>0.19</v>
      </c>
      <c r="T34" s="46"/>
      <c r="U34" s="8"/>
      <c r="V34" s="8"/>
      <c r="W34" s="8"/>
      <c r="X34" s="8"/>
    </row>
    <row r="35" spans="1:24" x14ac:dyDescent="0.3">
      <c r="A35" s="8"/>
      <c r="B35" s="46"/>
      <c r="C35" s="46"/>
      <c r="D35" s="46"/>
      <c r="E35" s="46"/>
      <c r="F35" s="46"/>
      <c r="G35" s="46"/>
      <c r="H35" s="46"/>
      <c r="I35" s="46"/>
      <c r="J35" s="46"/>
      <c r="K35" s="46"/>
      <c r="L35" s="46"/>
      <c r="M35" s="46"/>
      <c r="N35" s="46"/>
      <c r="O35" s="46"/>
      <c r="P35" s="46"/>
      <c r="Q35" s="46"/>
      <c r="R35" s="46"/>
      <c r="S35" s="46"/>
      <c r="T35" s="46"/>
      <c r="U35" s="8"/>
      <c r="V35" s="8"/>
      <c r="W35" s="8"/>
      <c r="X35" s="8"/>
    </row>
    <row r="36" spans="1:24" x14ac:dyDescent="0.3">
      <c r="A36" s="74" t="s">
        <v>150</v>
      </c>
      <c r="B36" s="82"/>
      <c r="C36" s="82"/>
      <c r="D36" s="82"/>
      <c r="E36" s="82"/>
      <c r="F36" s="82"/>
      <c r="G36" s="82"/>
      <c r="H36" s="82"/>
      <c r="I36" s="82"/>
      <c r="J36" s="82"/>
      <c r="K36" s="82"/>
      <c r="L36" s="82"/>
      <c r="M36" s="82"/>
      <c r="N36" s="82"/>
      <c r="O36" s="82"/>
      <c r="P36" s="82"/>
      <c r="Q36" s="46"/>
      <c r="R36" s="84" t="s">
        <v>136</v>
      </c>
      <c r="S36" s="82"/>
      <c r="T36" s="46"/>
      <c r="U36" s="8"/>
      <c r="V36" s="8"/>
      <c r="W36" s="8"/>
      <c r="X36" s="8"/>
    </row>
    <row r="37" spans="1:24" x14ac:dyDescent="0.3">
      <c r="A37" s="6" t="s">
        <v>166</v>
      </c>
      <c r="B37" s="11">
        <f>Historical_FS!B23</f>
        <v>720</v>
      </c>
      <c r="C37" s="11">
        <f>Historical_FS!C23</f>
        <v>652</v>
      </c>
      <c r="D37" s="11">
        <f>Historical_FS!D23</f>
        <v>756</v>
      </c>
      <c r="E37" s="11">
        <f>Historical_FS!E23</f>
        <v>1068</v>
      </c>
      <c r="F37" s="11">
        <f>Historical_FS!F23</f>
        <v>1048</v>
      </c>
      <c r="G37" s="11">
        <f>Historical_FS!G23</f>
        <v>971</v>
      </c>
      <c r="H37" s="11">
        <f>Historical_FS!H23</f>
        <v>953</v>
      </c>
      <c r="I37" s="11">
        <f>Historical_FS!I23</f>
        <v>978</v>
      </c>
      <c r="J37" s="11">
        <f>Historical_FS!J23</f>
        <v>853</v>
      </c>
      <c r="K37" s="11">
        <f>Historical_FS!K23</f>
        <v>900</v>
      </c>
      <c r="L37" s="45">
        <f>L17*L38</f>
        <v>1131.9429880150428</v>
      </c>
      <c r="M37" s="45">
        <f t="shared" ref="M37:P37" si="27">M17*M38</f>
        <v>1258.1372762673971</v>
      </c>
      <c r="N37" s="45">
        <f t="shared" si="27"/>
        <v>1376.985520711321</v>
      </c>
      <c r="O37" s="45">
        <f t="shared" si="27"/>
        <v>1483.3648037378732</v>
      </c>
      <c r="P37" s="45">
        <f t="shared" si="27"/>
        <v>1572.6309072576123</v>
      </c>
      <c r="Q37" s="46"/>
      <c r="R37" s="38" t="s">
        <v>137</v>
      </c>
      <c r="S37" s="45">
        <f>L32</f>
        <v>4877.6607539117595</v>
      </c>
      <c r="T37" s="46"/>
      <c r="U37" s="8"/>
      <c r="V37" s="8"/>
      <c r="W37" s="8"/>
      <c r="X37" s="8"/>
    </row>
    <row r="38" spans="1:24" x14ac:dyDescent="0.3">
      <c r="A38" s="6" t="s">
        <v>151</v>
      </c>
      <c r="B38" s="27">
        <f>IFERROR(B37/B17,"")</f>
        <v>5.2238264528767321E-2</v>
      </c>
      <c r="C38" s="27">
        <f t="shared" ref="C38:K38" si="28">IFERROR(C37/C17,"")</f>
        <v>4.7692195157632948E-2</v>
      </c>
      <c r="D38" s="27">
        <f t="shared" si="28"/>
        <v>5.0175881064578216E-2</v>
      </c>
      <c r="E38" s="27">
        <f t="shared" si="28"/>
        <v>6.9126213592233005E-2</v>
      </c>
      <c r="F38" s="27">
        <f t="shared" si="28"/>
        <v>9.1688538932633415E-2</v>
      </c>
      <c r="G38" s="27">
        <f t="shared" si="28"/>
        <v>8.8700100484150904E-2</v>
      </c>
      <c r="H38" s="27">
        <f t="shared" si="28"/>
        <v>7.509258529666693E-2</v>
      </c>
      <c r="I38" s="27">
        <f t="shared" si="28"/>
        <v>6.346940099941592E-2</v>
      </c>
      <c r="J38" s="27">
        <f t="shared" si="28"/>
        <v>4.7792469744509188E-2</v>
      </c>
      <c r="K38" s="27">
        <f t="shared" si="28"/>
        <v>4.4867640460641109E-2</v>
      </c>
      <c r="L38" s="27">
        <f>$S$54</f>
        <v>4.7792469744509188E-2</v>
      </c>
      <c r="M38" s="27">
        <f t="shared" ref="M38:P38" si="29">$S$54</f>
        <v>4.7792469744509188E-2</v>
      </c>
      <c r="N38" s="27">
        <f t="shared" si="29"/>
        <v>4.7792469744509188E-2</v>
      </c>
      <c r="O38" s="27">
        <f t="shared" si="29"/>
        <v>4.7792469744509188E-2</v>
      </c>
      <c r="P38" s="27">
        <f t="shared" si="29"/>
        <v>4.7792469744509188E-2</v>
      </c>
      <c r="Q38" s="46"/>
      <c r="R38" s="38" t="s">
        <v>138</v>
      </c>
      <c r="S38" s="45">
        <f>4700</f>
        <v>4700</v>
      </c>
      <c r="T38" s="46"/>
      <c r="U38" s="8"/>
      <c r="V38" s="8"/>
      <c r="W38" s="8"/>
      <c r="X38" s="8"/>
    </row>
    <row r="39" spans="1:24" x14ac:dyDescent="0.3">
      <c r="A39" s="8"/>
      <c r="B39" s="46"/>
      <c r="C39" s="46"/>
      <c r="D39" s="46"/>
      <c r="E39" s="46"/>
      <c r="F39" s="46"/>
      <c r="G39" s="46"/>
      <c r="H39" s="46"/>
      <c r="I39" s="46"/>
      <c r="J39" s="46"/>
      <c r="K39" s="46"/>
      <c r="L39" s="46"/>
      <c r="M39" s="46"/>
      <c r="N39" s="46"/>
      <c r="O39" s="46"/>
      <c r="P39" s="46"/>
      <c r="Q39" s="46"/>
      <c r="R39" s="38" t="s">
        <v>139</v>
      </c>
      <c r="S39" s="45">
        <f>4900</f>
        <v>4900</v>
      </c>
      <c r="T39" s="46"/>
      <c r="U39" s="8"/>
      <c r="V39" s="8"/>
      <c r="W39" s="8"/>
      <c r="X39" s="8"/>
    </row>
    <row r="40" spans="1:24" x14ac:dyDescent="0.3">
      <c r="A40" s="6" t="s">
        <v>28</v>
      </c>
      <c r="B40" s="11">
        <f>Historical_FS!B24</f>
        <v>-1201</v>
      </c>
      <c r="C40" s="11">
        <f>Historical_FS!C24</f>
        <v>-1377</v>
      </c>
      <c r="D40" s="11">
        <f>Historical_FS!D24</f>
        <v>-1585</v>
      </c>
      <c r="E40" s="11">
        <f>Historical_FS!E24</f>
        <v>-1338</v>
      </c>
      <c r="F40" s="11">
        <f>Historical_FS!F24</f>
        <v>-895</v>
      </c>
      <c r="G40" s="11">
        <f>Historical_FS!G24</f>
        <v>-496</v>
      </c>
      <c r="H40" s="11">
        <f>Historical_FS!H24</f>
        <v>-504</v>
      </c>
      <c r="I40" s="11">
        <f>Historical_FS!I24</f>
        <v>-695</v>
      </c>
      <c r="J40" s="11">
        <f>Historical_FS!J24</f>
        <v>-876</v>
      </c>
      <c r="K40" s="11">
        <f>Historical_FS!K24</f>
        <v>-978</v>
      </c>
      <c r="L40" s="45">
        <f>-L17*L41</f>
        <v>-1154.7677752850925</v>
      </c>
      <c r="M40" s="45">
        <f t="shared" ref="M40:P40" si="30">-M17*M41</f>
        <v>-1283.5066773691965</v>
      </c>
      <c r="N40" s="45">
        <f t="shared" si="30"/>
        <v>-1404.7514081428856</v>
      </c>
      <c r="O40" s="45">
        <f t="shared" si="30"/>
        <v>-1513.2757501792375</v>
      </c>
      <c r="P40" s="45">
        <f t="shared" si="30"/>
        <v>-1604.3418381901013</v>
      </c>
      <c r="Q40" s="46"/>
      <c r="R40" s="38" t="s">
        <v>140</v>
      </c>
      <c r="S40" s="48" t="str">
        <f>IF(AND(S37&gt;=S38,S37&lt;=S39),"PASS","CHECK")</f>
        <v>PASS</v>
      </c>
      <c r="T40" s="46"/>
      <c r="U40" s="8"/>
      <c r="V40" s="8"/>
      <c r="W40" s="8"/>
      <c r="X40" s="8"/>
    </row>
    <row r="41" spans="1:24" x14ac:dyDescent="0.3">
      <c r="A41" s="6" t="s">
        <v>152</v>
      </c>
      <c r="B41" s="27">
        <f>IFERROR(-B40/B17,"")</f>
        <v>8.7136327359791044E-2</v>
      </c>
      <c r="C41" s="27">
        <f t="shared" ref="C41:J41" si="31">IFERROR(-C40/C17,"")</f>
        <v>0.10072416063199473</v>
      </c>
      <c r="D41" s="27">
        <f t="shared" si="31"/>
        <v>0.10519678768168846</v>
      </c>
      <c r="E41" s="27">
        <f t="shared" si="31"/>
        <v>8.6601941747572811E-2</v>
      </c>
      <c r="F41" s="27">
        <f t="shared" si="31"/>
        <v>7.8302712160979879E-2</v>
      </c>
      <c r="G41" s="27">
        <f t="shared" si="31"/>
        <v>4.5309217137115193E-2</v>
      </c>
      <c r="H41" s="27">
        <f t="shared" si="31"/>
        <v>3.9713182570325425E-2</v>
      </c>
      <c r="I41" s="27">
        <f t="shared" si="31"/>
        <v>4.5103510935167762E-2</v>
      </c>
      <c r="J41" s="27">
        <f t="shared" si="31"/>
        <v>4.9081129538323623E-2</v>
      </c>
      <c r="K41" s="27">
        <f>IFERROR(-K40/K17,"")</f>
        <v>4.875616930056334E-2</v>
      </c>
      <c r="L41" s="27">
        <f>$S$55</f>
        <v>4.875616930056334E-2</v>
      </c>
      <c r="M41" s="27">
        <f t="shared" ref="M41:P41" si="32">$S$55</f>
        <v>4.875616930056334E-2</v>
      </c>
      <c r="N41" s="27">
        <f t="shared" si="32"/>
        <v>4.875616930056334E-2</v>
      </c>
      <c r="O41" s="27">
        <f t="shared" si="32"/>
        <v>4.875616930056334E-2</v>
      </c>
      <c r="P41" s="27">
        <f t="shared" si="32"/>
        <v>4.875616930056334E-2</v>
      </c>
      <c r="Q41" s="46"/>
      <c r="R41" s="46"/>
      <c r="S41" s="49"/>
      <c r="T41" s="46"/>
      <c r="U41" s="8"/>
      <c r="V41" s="8"/>
      <c r="W41" s="8"/>
      <c r="X41" s="8"/>
    </row>
    <row r="42" spans="1:24" x14ac:dyDescent="0.3">
      <c r="A42" s="8"/>
      <c r="B42" s="46"/>
      <c r="C42" s="46"/>
      <c r="D42" s="46"/>
      <c r="E42" s="46"/>
      <c r="F42" s="46"/>
      <c r="G42" s="46"/>
      <c r="H42" s="46"/>
      <c r="I42" s="46"/>
      <c r="J42" s="46"/>
      <c r="K42" s="46"/>
      <c r="L42" s="46"/>
      <c r="M42" s="46"/>
      <c r="N42" s="46"/>
      <c r="O42" s="46"/>
      <c r="P42" s="46"/>
      <c r="Q42" s="46"/>
      <c r="R42" s="38" t="s">
        <v>141</v>
      </c>
      <c r="S42" s="45">
        <f>N32</f>
        <v>5511.4912523358289</v>
      </c>
      <c r="T42" s="46"/>
      <c r="U42" s="8"/>
      <c r="V42" s="8"/>
      <c r="W42" s="8"/>
      <c r="X42" s="8"/>
    </row>
    <row r="43" spans="1:24" x14ac:dyDescent="0.3">
      <c r="A43" s="6" t="s">
        <v>84</v>
      </c>
      <c r="B43" s="11">
        <f>Historical_FS!B25</f>
        <v>-55</v>
      </c>
      <c r="C43" s="11">
        <f>Historical_FS!C25</f>
        <v>-219</v>
      </c>
      <c r="D43" s="11">
        <f>Historical_FS!D25</f>
        <v>581</v>
      </c>
      <c r="E43" s="11">
        <f>Historical_FS!E25</f>
        <v>531</v>
      </c>
      <c r="F43" s="11">
        <f>Historical_FS!F25</f>
        <v>-1527</v>
      </c>
      <c r="G43" s="11">
        <f>Historical_FS!G25</f>
        <v>-810</v>
      </c>
      <c r="H43" s="11">
        <f>Historical_FS!H25</f>
        <v>-524</v>
      </c>
      <c r="I43" s="11">
        <f>Historical_FS!I25</f>
        <v>-356</v>
      </c>
      <c r="J43" s="11">
        <f>Historical_FS!J25</f>
        <v>280</v>
      </c>
      <c r="K43" s="11">
        <f>Historical_FS!K25</f>
        <v>421</v>
      </c>
      <c r="L43" s="45">
        <f>L17*L44</f>
        <v>371.56393510458622</v>
      </c>
      <c r="M43" s="45">
        <f t="shared" ref="M43:P43" si="33">M17*M44</f>
        <v>412.98761706315497</v>
      </c>
      <c r="N43" s="45">
        <f t="shared" si="33"/>
        <v>451.99993645858137</v>
      </c>
      <c r="O43" s="45">
        <f t="shared" si="33"/>
        <v>486.91927906987632</v>
      </c>
      <c r="P43" s="45">
        <f t="shared" si="33"/>
        <v>516.22116533661369</v>
      </c>
      <c r="Q43" s="46"/>
      <c r="R43" s="38" t="s">
        <v>142</v>
      </c>
      <c r="S43" s="45">
        <f>4900</f>
        <v>4900</v>
      </c>
      <c r="T43" s="46"/>
      <c r="U43" s="8"/>
      <c r="V43" s="8"/>
      <c r="W43" s="8"/>
      <c r="X43" s="8"/>
    </row>
    <row r="44" spans="1:24" x14ac:dyDescent="0.3">
      <c r="A44" s="6" t="s">
        <v>153</v>
      </c>
      <c r="B44" s="27">
        <f>IFERROR(B43/B17,"")</f>
        <v>-3.9904229848363925E-3</v>
      </c>
      <c r="C44" s="27">
        <f t="shared" ref="C44:K44" si="34">IFERROR(C43/C17,"")</f>
        <v>-1.6019310950186525E-2</v>
      </c>
      <c r="D44" s="27">
        <f t="shared" si="34"/>
        <v>3.8561093781111035E-2</v>
      </c>
      <c r="E44" s="27">
        <f t="shared" si="34"/>
        <v>3.4368932038834954E-2</v>
      </c>
      <c r="F44" s="27">
        <f t="shared" si="34"/>
        <v>-0.13359580052493439</v>
      </c>
      <c r="G44" s="27">
        <f t="shared" si="34"/>
        <v>-7.3992874760208271E-2</v>
      </c>
      <c r="H44" s="27">
        <f t="shared" si="34"/>
        <v>-4.1289102513592309E-2</v>
      </c>
      <c r="I44" s="27">
        <f t="shared" si="34"/>
        <v>-2.3103381140891686E-2</v>
      </c>
      <c r="J44" s="27">
        <f t="shared" si="34"/>
        <v>1.5688032272523533E-2</v>
      </c>
      <c r="K44" s="27">
        <f t="shared" si="34"/>
        <v>2.0988085148811009E-2</v>
      </c>
      <c r="L44" s="27">
        <f>$S$56</f>
        <v>1.5688032272523533E-2</v>
      </c>
      <c r="M44" s="27">
        <f t="shared" ref="M44:P44" si="35">$S$56</f>
        <v>1.5688032272523533E-2</v>
      </c>
      <c r="N44" s="27">
        <f t="shared" si="35"/>
        <v>1.5688032272523533E-2</v>
      </c>
      <c r="O44" s="27">
        <f t="shared" si="35"/>
        <v>1.5688032272523533E-2</v>
      </c>
      <c r="P44" s="27">
        <f t="shared" si="35"/>
        <v>1.5688032272523533E-2</v>
      </c>
      <c r="Q44" s="46"/>
      <c r="R44" s="38" t="s">
        <v>143</v>
      </c>
      <c r="S44" s="45">
        <f>5200</f>
        <v>5200</v>
      </c>
      <c r="T44" s="46"/>
      <c r="U44" s="8"/>
      <c r="V44" s="8"/>
      <c r="W44" s="8"/>
      <c r="X44" s="8"/>
    </row>
    <row r="45" spans="1:24" x14ac:dyDescent="0.3">
      <c r="A45" s="8"/>
      <c r="B45" s="46"/>
      <c r="C45" s="46"/>
      <c r="D45" s="46"/>
      <c r="E45" s="46"/>
      <c r="F45" s="46"/>
      <c r="G45" s="46"/>
      <c r="H45" s="46"/>
      <c r="I45" s="46"/>
      <c r="J45" s="46"/>
      <c r="K45" s="46"/>
      <c r="L45" s="46"/>
      <c r="M45" s="46"/>
      <c r="N45" s="46"/>
      <c r="O45" s="46"/>
      <c r="P45" s="46"/>
      <c r="Q45" s="46"/>
      <c r="R45" s="38" t="s">
        <v>144</v>
      </c>
      <c r="S45" s="50" t="str">
        <f>IF(AND(S42&gt;=S43,S42&lt;=S44),"PASS","CHECK")</f>
        <v>CHECK</v>
      </c>
      <c r="T45" s="46"/>
      <c r="U45" s="8"/>
      <c r="V45" s="8"/>
      <c r="W45" s="8"/>
      <c r="X45" s="8"/>
    </row>
    <row r="46" spans="1:24" x14ac:dyDescent="0.3">
      <c r="A46" s="6" t="s">
        <v>154</v>
      </c>
      <c r="B46" s="13">
        <f>Historical_FS!B18</f>
        <v>0.13028472821397757</v>
      </c>
      <c r="C46" s="13">
        <f>Historical_FS!C18</f>
        <v>0.13211903540277065</v>
      </c>
      <c r="D46" s="13">
        <f>Historical_FS!D18</f>
        <v>-0.18798778418730913</v>
      </c>
      <c r="E46" s="13">
        <f>Historical_FS!E18</f>
        <v>-0.4713804713804714</v>
      </c>
      <c r="F46" s="13">
        <f>Historical_FS!F18</f>
        <v>-0.10789567702750982</v>
      </c>
      <c r="G46" s="13">
        <f>Historical_FS!G18</f>
        <v>1.4217687074829932</v>
      </c>
      <c r="H46" s="13">
        <f>Historical_FS!H18</f>
        <v>0.20505992010652463</v>
      </c>
      <c r="I46" s="13">
        <f>Historical_FS!I18</f>
        <v>9.476720230737536E-3</v>
      </c>
      <c r="J46" s="13">
        <f>Historical_FS!J18</f>
        <v>-0.11190689346463742</v>
      </c>
      <c r="K46" s="13">
        <f>Historical_FS!K18</f>
        <v>0.15847152126892575</v>
      </c>
      <c r="L46" s="27">
        <f>$S$57</f>
        <v>0.25</v>
      </c>
      <c r="M46" s="27">
        <f t="shared" ref="M46:P46" si="36">$S$57</f>
        <v>0.25</v>
      </c>
      <c r="N46" s="27">
        <f t="shared" si="36"/>
        <v>0.25</v>
      </c>
      <c r="O46" s="27">
        <f t="shared" si="36"/>
        <v>0.25</v>
      </c>
      <c r="P46" s="27">
        <f t="shared" si="36"/>
        <v>0.25</v>
      </c>
      <c r="Q46" s="46"/>
      <c r="R46" s="40" t="s">
        <v>148</v>
      </c>
      <c r="S46" s="27">
        <f>N33</f>
        <v>0.19129306369780588</v>
      </c>
      <c r="T46" s="46"/>
      <c r="U46" s="8"/>
      <c r="V46" s="8"/>
      <c r="W46" s="8"/>
      <c r="X46" s="8"/>
    </row>
    <row r="47" spans="1:24" x14ac:dyDescent="0.3">
      <c r="A47" s="8"/>
      <c r="B47" s="46"/>
      <c r="C47" s="46"/>
      <c r="D47" s="46"/>
      <c r="E47" s="46"/>
      <c r="F47" s="46"/>
      <c r="G47" s="46"/>
      <c r="H47" s="46"/>
      <c r="I47" s="46"/>
      <c r="J47" s="46"/>
      <c r="K47" s="46"/>
      <c r="L47" s="46"/>
      <c r="M47" s="46"/>
      <c r="N47" s="46"/>
      <c r="O47" s="46"/>
      <c r="P47" s="46"/>
      <c r="Q47" s="46"/>
      <c r="R47" s="41" t="s">
        <v>147</v>
      </c>
      <c r="S47" s="27">
        <f>18%</f>
        <v>0.18</v>
      </c>
      <c r="T47" s="46"/>
      <c r="U47" s="8"/>
      <c r="V47" s="8"/>
      <c r="W47" s="8"/>
      <c r="X47" s="8"/>
    </row>
    <row r="48" spans="1:24" x14ac:dyDescent="0.3">
      <c r="A48" s="6" t="s">
        <v>164</v>
      </c>
      <c r="B48" s="46"/>
      <c r="C48" s="46"/>
      <c r="D48" s="46"/>
      <c r="E48" s="46"/>
      <c r="F48" s="46"/>
      <c r="G48" s="46"/>
      <c r="H48" s="46"/>
      <c r="I48" s="46"/>
      <c r="J48" s="46"/>
      <c r="K48" s="46"/>
      <c r="L48" s="45">
        <f>-L32*L46</f>
        <v>-1219.4151884779399</v>
      </c>
      <c r="M48" s="45">
        <f t="shared" ref="M48:P48" si="37">-M32*M46</f>
        <v>-1254.6052889198836</v>
      </c>
      <c r="N48" s="45">
        <f t="shared" si="37"/>
        <v>-1377.8728130839572</v>
      </c>
      <c r="O48" s="45">
        <f t="shared" si="37"/>
        <v>-1486.2015373554455</v>
      </c>
      <c r="P48" s="45">
        <f t="shared" si="37"/>
        <v>-1574.3033154717314</v>
      </c>
      <c r="Q48" s="46"/>
      <c r="R48" s="38" t="s">
        <v>145</v>
      </c>
      <c r="S48" s="27">
        <f>20%</f>
        <v>0.2</v>
      </c>
      <c r="T48" s="46"/>
      <c r="U48" s="8"/>
      <c r="V48" s="8"/>
      <c r="W48" s="8"/>
      <c r="X48" s="8"/>
    </row>
    <row r="49" spans="1:24" x14ac:dyDescent="0.3">
      <c r="A49" s="6" t="s">
        <v>165</v>
      </c>
      <c r="B49" s="46"/>
      <c r="C49" s="46"/>
      <c r="D49" s="46"/>
      <c r="E49" s="46"/>
      <c r="F49" s="46"/>
      <c r="G49" s="46"/>
      <c r="H49" s="46"/>
      <c r="I49" s="46"/>
      <c r="J49" s="46"/>
      <c r="K49" s="46"/>
      <c r="L49" s="45">
        <f>L32+L48</f>
        <v>3658.2455654338196</v>
      </c>
      <c r="M49" s="45">
        <f t="shared" ref="M49:P49" si="38">M32+M48</f>
        <v>3763.8158667596508</v>
      </c>
      <c r="N49" s="45">
        <f t="shared" si="38"/>
        <v>4133.6184392518717</v>
      </c>
      <c r="O49" s="45">
        <f t="shared" si="38"/>
        <v>4458.6046120663359</v>
      </c>
      <c r="P49" s="45">
        <f t="shared" si="38"/>
        <v>4722.9099464151941</v>
      </c>
      <c r="Q49" s="46"/>
      <c r="R49" s="38" t="s">
        <v>146</v>
      </c>
      <c r="S49" s="51" t="str">
        <f>IF(AND(S46&gt;=S47,S46&lt;=S48),"PASS","CHECK")</f>
        <v>PASS</v>
      </c>
      <c r="T49" s="46"/>
      <c r="U49" s="8"/>
      <c r="V49" s="8"/>
      <c r="W49" s="8"/>
      <c r="X49" s="8"/>
    </row>
    <row r="50" spans="1:24" x14ac:dyDescent="0.3">
      <c r="A50" s="8"/>
      <c r="B50" s="46"/>
      <c r="C50" s="46"/>
      <c r="D50" s="46"/>
      <c r="E50" s="46"/>
      <c r="F50" s="46"/>
      <c r="G50" s="46"/>
      <c r="H50" s="46"/>
      <c r="I50" s="46"/>
      <c r="J50" s="46"/>
      <c r="K50" s="46"/>
      <c r="L50" s="46"/>
      <c r="M50" s="46"/>
      <c r="N50" s="46"/>
      <c r="O50" s="46"/>
      <c r="P50" s="46"/>
      <c r="Q50" s="46"/>
      <c r="R50" s="46"/>
      <c r="S50" s="52"/>
      <c r="T50" s="46"/>
      <c r="U50" s="8"/>
      <c r="V50" s="8"/>
      <c r="W50" s="8"/>
      <c r="X50" s="8"/>
    </row>
    <row r="51" spans="1:24" x14ac:dyDescent="0.3">
      <c r="A51" s="6" t="s">
        <v>30</v>
      </c>
      <c r="B51" s="46"/>
      <c r="C51" s="46"/>
      <c r="D51" s="46"/>
      <c r="E51" s="46"/>
      <c r="F51" s="46"/>
      <c r="G51" s="46"/>
      <c r="H51" s="46"/>
      <c r="I51" s="46"/>
      <c r="J51" s="46"/>
      <c r="K51" s="46"/>
      <c r="L51" s="45">
        <f>L49+L37+L40+L43</f>
        <v>4006.9847132683567</v>
      </c>
      <c r="M51" s="45">
        <f t="shared" ref="M51:P51" si="39">M49+M37+M40+M43</f>
        <v>4151.4340827210062</v>
      </c>
      <c r="N51" s="45">
        <f t="shared" si="39"/>
        <v>4557.8524882788888</v>
      </c>
      <c r="O51" s="45">
        <f t="shared" si="39"/>
        <v>4915.612944694848</v>
      </c>
      <c r="P51" s="45">
        <f t="shared" si="39"/>
        <v>5207.4201808193193</v>
      </c>
      <c r="Q51" s="46"/>
      <c r="R51" s="38" t="s">
        <v>149</v>
      </c>
      <c r="S51" s="45">
        <f>S42-S44</f>
        <v>311.4912523358289</v>
      </c>
      <c r="T51" s="46"/>
      <c r="U51" s="8"/>
      <c r="V51" s="8"/>
      <c r="W51" s="8"/>
      <c r="X51" s="8"/>
    </row>
    <row r="52" spans="1:24" x14ac:dyDescent="0.3">
      <c r="A52" s="8"/>
      <c r="B52" s="46"/>
      <c r="C52" s="46"/>
      <c r="D52" s="46"/>
      <c r="E52" s="46"/>
      <c r="F52" s="46"/>
      <c r="G52" s="46"/>
      <c r="H52" s="46"/>
      <c r="I52" s="46"/>
      <c r="J52" s="46"/>
      <c r="K52" s="46"/>
      <c r="L52" s="46"/>
      <c r="M52" s="46"/>
      <c r="N52" s="46"/>
      <c r="O52" s="46"/>
      <c r="P52" s="46"/>
      <c r="Q52" s="46"/>
      <c r="R52" s="53"/>
      <c r="S52" s="46"/>
      <c r="T52" s="46"/>
      <c r="U52" s="8"/>
      <c r="V52" s="8"/>
      <c r="W52" s="8"/>
      <c r="X52" s="8"/>
    </row>
    <row r="53" spans="1:24" x14ac:dyDescent="0.3">
      <c r="A53" s="8"/>
      <c r="B53" s="46"/>
      <c r="C53" s="46"/>
      <c r="D53" s="46"/>
      <c r="E53" s="46"/>
      <c r="F53" s="46"/>
      <c r="G53" s="46"/>
      <c r="H53" s="46"/>
      <c r="I53" s="46"/>
      <c r="J53" s="46"/>
      <c r="K53" s="46"/>
      <c r="L53" s="46"/>
      <c r="M53" s="46"/>
      <c r="N53" s="46"/>
      <c r="O53" s="46"/>
      <c r="P53" s="46"/>
      <c r="Q53" s="46"/>
      <c r="R53" s="84" t="s">
        <v>155</v>
      </c>
      <c r="S53" s="86"/>
      <c r="T53" s="46"/>
      <c r="U53" s="8"/>
      <c r="V53" s="8"/>
      <c r="W53" s="8"/>
      <c r="X53" s="8"/>
    </row>
    <row r="54" spans="1:24" x14ac:dyDescent="0.3">
      <c r="A54" s="8"/>
      <c r="B54" s="46"/>
      <c r="C54" s="46"/>
      <c r="D54" s="46"/>
      <c r="E54" s="46"/>
      <c r="F54" s="46"/>
      <c r="G54" s="46"/>
      <c r="H54" s="46"/>
      <c r="I54" s="46"/>
      <c r="J54" s="46"/>
      <c r="K54" s="46"/>
      <c r="L54" s="46"/>
      <c r="M54" s="46"/>
      <c r="N54" s="46"/>
      <c r="O54" s="46"/>
      <c r="P54" s="46"/>
      <c r="Q54" s="46"/>
      <c r="R54" s="38" t="s">
        <v>156</v>
      </c>
      <c r="S54" s="27">
        <f>MEDIAN(I38:K38)</f>
        <v>4.7792469744509188E-2</v>
      </c>
      <c r="T54" s="46"/>
      <c r="U54" s="8"/>
      <c r="V54" s="8"/>
      <c r="W54" s="8"/>
      <c r="X54" s="8"/>
    </row>
    <row r="55" spans="1:24" x14ac:dyDescent="0.3">
      <c r="A55" s="8"/>
      <c r="B55" s="46"/>
      <c r="C55" s="46"/>
      <c r="D55" s="46"/>
      <c r="E55" s="46"/>
      <c r="F55" s="46"/>
      <c r="G55" s="46"/>
      <c r="H55" s="46"/>
      <c r="I55" s="46"/>
      <c r="J55" s="46"/>
      <c r="K55" s="46"/>
      <c r="L55" s="46"/>
      <c r="M55" s="46"/>
      <c r="N55" s="46"/>
      <c r="O55" s="46"/>
      <c r="P55" s="46"/>
      <c r="Q55" s="46"/>
      <c r="R55" s="38" t="s">
        <v>157</v>
      </c>
      <c r="S55" s="27">
        <f>MEDIAN(I41:K41)</f>
        <v>4.875616930056334E-2</v>
      </c>
      <c r="T55" s="46"/>
      <c r="U55" s="8"/>
      <c r="V55" s="8"/>
      <c r="W55" s="8"/>
      <c r="X55" s="8"/>
    </row>
    <row r="56" spans="1:24" x14ac:dyDescent="0.3">
      <c r="A56" s="8"/>
      <c r="B56" s="46"/>
      <c r="C56" s="46"/>
      <c r="D56" s="46"/>
      <c r="E56" s="46"/>
      <c r="F56" s="46"/>
      <c r="G56" s="46"/>
      <c r="H56" s="46"/>
      <c r="I56" s="46"/>
      <c r="J56" s="46"/>
      <c r="K56" s="46"/>
      <c r="L56" s="46"/>
      <c r="M56" s="46"/>
      <c r="N56" s="46"/>
      <c r="O56" s="46"/>
      <c r="P56" s="46"/>
      <c r="Q56" s="46"/>
      <c r="R56" s="38" t="s">
        <v>158</v>
      </c>
      <c r="S56" s="27">
        <f>MEDIAN(I44:K44)</f>
        <v>1.5688032272523533E-2</v>
      </c>
      <c r="T56" s="46"/>
      <c r="U56" s="8"/>
      <c r="V56" s="8"/>
      <c r="W56" s="8"/>
      <c r="X56" s="8"/>
    </row>
    <row r="57" spans="1:24" x14ac:dyDescent="0.3">
      <c r="A57" s="8"/>
      <c r="B57" s="46"/>
      <c r="C57" s="46"/>
      <c r="D57" s="46"/>
      <c r="E57" s="46"/>
      <c r="F57" s="46"/>
      <c r="G57" s="46"/>
      <c r="H57" s="46"/>
      <c r="I57" s="46"/>
      <c r="J57" s="46"/>
      <c r="K57" s="46"/>
      <c r="L57" s="46"/>
      <c r="M57" s="46"/>
      <c r="N57" s="46"/>
      <c r="O57" s="46"/>
      <c r="P57" s="46"/>
      <c r="Q57" s="46"/>
      <c r="R57" s="39" t="s">
        <v>159</v>
      </c>
      <c r="S57" s="27">
        <f>25%</f>
        <v>0.25</v>
      </c>
      <c r="T57" s="46"/>
      <c r="U57" s="8"/>
      <c r="V57" s="8"/>
      <c r="W57" s="8"/>
      <c r="X57" s="8"/>
    </row>
    <row r="58" spans="1:24" x14ac:dyDescent="0.3">
      <c r="A58" s="8"/>
      <c r="B58" s="46"/>
      <c r="C58" s="46"/>
      <c r="D58" s="46"/>
      <c r="E58" s="46"/>
      <c r="F58" s="46"/>
      <c r="G58" s="46"/>
      <c r="H58" s="46"/>
      <c r="I58" s="46"/>
      <c r="J58" s="46"/>
      <c r="K58" s="46"/>
      <c r="L58" s="46"/>
      <c r="M58" s="46"/>
      <c r="N58" s="46"/>
      <c r="O58" s="46"/>
      <c r="P58" s="46"/>
      <c r="Q58" s="46"/>
      <c r="R58" s="38" t="s">
        <v>160</v>
      </c>
      <c r="S58" s="13">
        <f>-SUM(Historical_FS!I17:K17)/SUM(Historical_FS!I16:K16)</f>
        <v>7.5198344256640223E-2</v>
      </c>
      <c r="T58" s="46"/>
      <c r="U58" s="8"/>
      <c r="V58" s="8"/>
      <c r="W58" s="8"/>
      <c r="X58" s="8"/>
    </row>
    <row r="59" spans="1:24" x14ac:dyDescent="0.3">
      <c r="A59" s="8"/>
      <c r="B59" s="46"/>
      <c r="C59" s="46"/>
      <c r="D59" s="46"/>
      <c r="E59" s="46"/>
      <c r="F59" s="46"/>
      <c r="G59" s="46"/>
      <c r="H59" s="46"/>
      <c r="I59" s="46"/>
      <c r="J59" s="46"/>
      <c r="K59" s="46"/>
      <c r="L59" s="46"/>
      <c r="M59" s="46"/>
      <c r="N59" s="46"/>
      <c r="O59" s="46"/>
      <c r="P59" s="46"/>
      <c r="Q59" s="46"/>
      <c r="R59" s="38" t="s">
        <v>161</v>
      </c>
      <c r="S59" s="13">
        <f>-SUM(Historical_FS!G17:K17)/SUM(Historical_FS!G16:K16)</f>
        <v>1.4897959183673469E-2</v>
      </c>
      <c r="T59" s="46"/>
      <c r="U59" s="8"/>
      <c r="V59" s="8"/>
      <c r="W59" s="8"/>
      <c r="X59" s="8"/>
    </row>
    <row r="60" spans="1:24" ht="26.4" x14ac:dyDescent="0.3">
      <c r="A60" s="8"/>
      <c r="B60" s="46"/>
      <c r="C60" s="46"/>
      <c r="D60" s="46"/>
      <c r="E60" s="46"/>
      <c r="F60" s="46"/>
      <c r="G60" s="46"/>
      <c r="H60" s="46"/>
      <c r="I60" s="46"/>
      <c r="J60" s="46"/>
      <c r="K60" s="46"/>
      <c r="L60" s="46"/>
      <c r="M60" s="46"/>
      <c r="N60" s="46"/>
      <c r="O60" s="46"/>
      <c r="P60" s="46"/>
      <c r="Q60" s="46"/>
      <c r="R60" s="36" t="s">
        <v>162</v>
      </c>
      <c r="S60" s="42" t="s">
        <v>163</v>
      </c>
      <c r="T60" s="46"/>
      <c r="U60" s="8"/>
      <c r="V60" s="8"/>
      <c r="W60" s="8"/>
      <c r="X60" s="8"/>
    </row>
    <row r="61" spans="1:24" x14ac:dyDescent="0.3">
      <c r="A61" s="8"/>
      <c r="B61" s="46"/>
      <c r="C61" s="46"/>
      <c r="D61" s="46"/>
      <c r="E61" s="46"/>
      <c r="F61" s="46"/>
      <c r="G61" s="46"/>
      <c r="H61" s="46"/>
      <c r="I61" s="46"/>
      <c r="J61" s="46"/>
      <c r="K61" s="46"/>
      <c r="L61" s="46"/>
      <c r="M61" s="46"/>
      <c r="N61" s="46"/>
      <c r="O61" s="46"/>
      <c r="P61" s="46"/>
      <c r="Q61" s="46"/>
      <c r="R61" s="46"/>
      <c r="S61" s="46"/>
      <c r="T61" s="46"/>
      <c r="U61" s="8"/>
      <c r="V61" s="8"/>
      <c r="W61" s="8"/>
      <c r="X61" s="8"/>
    </row>
    <row r="62" spans="1:24" x14ac:dyDescent="0.3">
      <c r="A62" s="8"/>
      <c r="B62" s="8"/>
      <c r="C62" s="8"/>
      <c r="D62" s="8"/>
      <c r="E62" s="8"/>
      <c r="F62" s="8"/>
      <c r="G62" s="8"/>
      <c r="H62" s="8"/>
      <c r="I62" s="8"/>
      <c r="J62" s="8"/>
      <c r="K62" s="8"/>
      <c r="L62" s="8"/>
      <c r="M62" s="8"/>
      <c r="N62" s="8"/>
      <c r="O62" s="8"/>
      <c r="P62" s="8"/>
      <c r="Q62" s="8"/>
      <c r="R62" s="84" t="s">
        <v>181</v>
      </c>
      <c r="S62" s="75"/>
      <c r="T62" s="8"/>
      <c r="U62" s="8"/>
      <c r="V62" s="8"/>
      <c r="W62" s="8"/>
      <c r="X62" s="8"/>
    </row>
    <row r="63" spans="1:24" x14ac:dyDescent="0.3">
      <c r="A63" s="8"/>
      <c r="B63" s="8"/>
      <c r="C63" s="8"/>
      <c r="D63" s="8"/>
      <c r="E63" s="8"/>
      <c r="F63" s="8"/>
      <c r="G63" s="8"/>
      <c r="H63" s="8"/>
      <c r="I63" s="8"/>
      <c r="J63" s="8"/>
      <c r="K63" s="8"/>
      <c r="L63" s="8"/>
      <c r="M63" s="8"/>
      <c r="N63" s="8"/>
      <c r="O63" s="8"/>
      <c r="P63" s="8"/>
      <c r="Q63" s="8"/>
      <c r="R63" s="38" t="s">
        <v>182</v>
      </c>
      <c r="S63" s="45">
        <f>11279</f>
        <v>11279</v>
      </c>
      <c r="T63" s="8"/>
      <c r="U63" s="8"/>
      <c r="V63" s="8"/>
      <c r="W63" s="8"/>
      <c r="X63" s="8"/>
    </row>
    <row r="64" spans="1:24" x14ac:dyDescent="0.3">
      <c r="A64" s="8"/>
      <c r="B64" s="8"/>
      <c r="C64" s="8"/>
      <c r="D64" s="8"/>
      <c r="E64" s="8"/>
      <c r="F64" s="8"/>
      <c r="G64" s="8"/>
      <c r="H64" s="8"/>
      <c r="I64" s="8"/>
      <c r="J64" s="8"/>
      <c r="K64" s="8"/>
      <c r="L64" s="8"/>
      <c r="M64" s="8"/>
      <c r="N64" s="8"/>
      <c r="O64" s="8"/>
      <c r="P64" s="8"/>
      <c r="Q64" s="8"/>
      <c r="R64" s="38" t="s">
        <v>183</v>
      </c>
      <c r="S64" s="45">
        <f>2534</f>
        <v>2534</v>
      </c>
      <c r="T64" s="8"/>
      <c r="U64" s="8"/>
      <c r="V64" s="8"/>
      <c r="W64" s="8"/>
      <c r="X64" s="8"/>
    </row>
    <row r="65" spans="1:24" x14ac:dyDescent="0.3">
      <c r="A65" s="8"/>
      <c r="B65" s="8"/>
      <c r="C65" s="8"/>
      <c r="D65" s="8"/>
      <c r="E65" s="8"/>
      <c r="F65" s="8"/>
      <c r="G65" s="8"/>
      <c r="H65" s="8"/>
      <c r="I65" s="8"/>
      <c r="J65" s="8"/>
      <c r="K65" s="8"/>
      <c r="L65" s="8"/>
      <c r="M65" s="8"/>
      <c r="N65" s="8"/>
      <c r="O65" s="8"/>
      <c r="P65" s="8"/>
      <c r="Q65" s="8"/>
      <c r="R65" s="38" t="s">
        <v>184</v>
      </c>
      <c r="S65" s="27">
        <f>S64/S63</f>
        <v>0.22466530720808583</v>
      </c>
      <c r="T65" s="8"/>
      <c r="U65" s="8"/>
      <c r="V65" s="8"/>
      <c r="W65" s="8"/>
      <c r="X65" s="8"/>
    </row>
    <row r="66" spans="1:24" x14ac:dyDescent="0.3">
      <c r="A66" s="8"/>
      <c r="B66" s="8"/>
      <c r="C66" s="8"/>
      <c r="D66" s="8"/>
      <c r="E66" s="8"/>
      <c r="F66" s="8"/>
      <c r="G66" s="8"/>
      <c r="H66" s="8"/>
      <c r="I66" s="8"/>
      <c r="J66" s="8"/>
      <c r="K66" s="8"/>
      <c r="L66" s="8"/>
      <c r="M66" s="8"/>
      <c r="N66" s="8"/>
      <c r="O66" s="8"/>
      <c r="P66" s="8"/>
      <c r="Q66" s="8"/>
      <c r="R66" s="8"/>
      <c r="S66" s="8"/>
      <c r="T66" s="8"/>
      <c r="U66" s="8"/>
      <c r="V66" s="8"/>
      <c r="W66" s="8"/>
      <c r="X66" s="8"/>
    </row>
    <row r="67" spans="1:24" x14ac:dyDescent="0.3">
      <c r="A67" s="8"/>
      <c r="B67" s="8"/>
      <c r="C67" s="8"/>
      <c r="D67" s="8"/>
      <c r="E67" s="8"/>
      <c r="F67" s="8"/>
      <c r="G67" s="8"/>
      <c r="H67" s="8"/>
      <c r="I67" s="8"/>
      <c r="J67" s="8"/>
      <c r="K67" s="8"/>
      <c r="L67" s="8"/>
      <c r="M67" s="8"/>
      <c r="N67" s="8"/>
      <c r="O67" s="8"/>
      <c r="P67" s="8"/>
      <c r="Q67" s="8"/>
      <c r="R67" s="38" t="s">
        <v>138</v>
      </c>
      <c r="S67" s="45">
        <f>4700</f>
        <v>4700</v>
      </c>
      <c r="T67" s="8"/>
      <c r="U67" s="8"/>
      <c r="V67" s="8"/>
      <c r="W67" s="8"/>
      <c r="X67" s="8"/>
    </row>
    <row r="68" spans="1:24" x14ac:dyDescent="0.3">
      <c r="A68" s="8"/>
      <c r="B68" s="8"/>
      <c r="C68" s="8"/>
      <c r="D68" s="8"/>
      <c r="E68" s="8"/>
      <c r="F68" s="8"/>
      <c r="G68" s="8"/>
      <c r="H68" s="8"/>
      <c r="I68" s="8"/>
      <c r="J68" s="8"/>
      <c r="K68" s="8"/>
      <c r="L68" s="8"/>
      <c r="M68" s="8"/>
      <c r="N68" s="8"/>
      <c r="O68" s="8"/>
      <c r="P68" s="8"/>
      <c r="Q68" s="8"/>
      <c r="R68" s="38" t="s">
        <v>139</v>
      </c>
      <c r="S68" s="45">
        <f>4900</f>
        <v>4900</v>
      </c>
      <c r="T68" s="8"/>
      <c r="U68" s="8"/>
      <c r="V68" s="8"/>
      <c r="W68" s="8"/>
      <c r="X68" s="8"/>
    </row>
    <row r="69" spans="1:24" x14ac:dyDescent="0.3">
      <c r="A69" s="8"/>
      <c r="B69" s="8"/>
      <c r="C69" s="8"/>
      <c r="D69" s="8"/>
      <c r="E69" s="8"/>
      <c r="F69" s="8"/>
      <c r="G69" s="8"/>
      <c r="H69" s="8"/>
      <c r="I69" s="8"/>
      <c r="J69" s="8"/>
      <c r="K69" s="8"/>
      <c r="L69" s="8"/>
      <c r="M69" s="8"/>
      <c r="N69" s="8"/>
      <c r="O69" s="8"/>
      <c r="P69" s="8"/>
      <c r="Q69" s="8"/>
      <c r="R69" s="38" t="s">
        <v>185</v>
      </c>
      <c r="S69" s="45">
        <f>AVERAGE(S67:S68)</f>
        <v>4800</v>
      </c>
      <c r="T69" s="8"/>
      <c r="U69" s="8"/>
      <c r="V69" s="8"/>
      <c r="W69" s="8"/>
      <c r="X69" s="8"/>
    </row>
    <row r="70" spans="1:24" x14ac:dyDescent="0.3">
      <c r="A70" s="8"/>
      <c r="B70" s="8"/>
      <c r="C70" s="8"/>
      <c r="D70" s="8"/>
      <c r="E70" s="8"/>
      <c r="F70" s="8"/>
      <c r="G70" s="8"/>
      <c r="H70" s="8"/>
      <c r="I70" s="8"/>
      <c r="J70" s="8"/>
      <c r="K70" s="8"/>
      <c r="L70" s="8"/>
      <c r="M70" s="8"/>
      <c r="N70" s="8"/>
      <c r="O70" s="8"/>
      <c r="P70" s="8"/>
      <c r="Q70" s="8"/>
      <c r="R70" s="8"/>
      <c r="S70" s="8"/>
      <c r="T70" s="8"/>
      <c r="U70" s="8"/>
      <c r="V70" s="8"/>
      <c r="W70" s="8"/>
      <c r="X70" s="8"/>
    </row>
    <row r="71" spans="1:24" x14ac:dyDescent="0.3">
      <c r="A71" s="8"/>
      <c r="B71" s="8"/>
      <c r="C71" s="8"/>
      <c r="D71" s="8"/>
      <c r="E71" s="8"/>
      <c r="F71" s="8"/>
      <c r="G71" s="8"/>
      <c r="H71" s="8"/>
      <c r="I71" s="8"/>
      <c r="J71" s="8"/>
      <c r="K71" s="8"/>
      <c r="L71" s="8"/>
      <c r="M71" s="8"/>
      <c r="N71" s="8"/>
      <c r="O71" s="8"/>
      <c r="P71" s="8"/>
      <c r="Q71" s="8"/>
      <c r="R71" s="8"/>
      <c r="S71" s="8"/>
      <c r="T71" s="8"/>
      <c r="U71" s="8"/>
      <c r="V71" s="8"/>
      <c r="W71" s="8"/>
      <c r="X71" s="8"/>
    </row>
    <row r="72" spans="1:24" x14ac:dyDescent="0.3">
      <c r="A72" s="8"/>
      <c r="B72" s="8"/>
      <c r="C72" s="8"/>
      <c r="D72" s="8"/>
      <c r="E72" s="8"/>
      <c r="F72" s="8"/>
      <c r="G72" s="8"/>
      <c r="H72" s="8"/>
      <c r="I72" s="8"/>
      <c r="J72" s="8"/>
      <c r="K72" s="8"/>
      <c r="L72" s="8"/>
      <c r="M72" s="8"/>
      <c r="N72" s="8"/>
      <c r="O72" s="8"/>
      <c r="P72" s="8"/>
      <c r="Q72" s="8"/>
      <c r="R72" s="84" t="s">
        <v>186</v>
      </c>
      <c r="S72" s="75"/>
      <c r="T72" s="8"/>
      <c r="U72" s="8"/>
      <c r="V72" s="8"/>
      <c r="W72" s="8"/>
      <c r="X72" s="8"/>
    </row>
    <row r="73" spans="1:24" x14ac:dyDescent="0.3">
      <c r="A73" s="8"/>
      <c r="B73" s="8"/>
      <c r="C73" s="8"/>
      <c r="D73" s="8"/>
      <c r="E73" s="8"/>
      <c r="F73" s="8"/>
      <c r="G73" s="8"/>
      <c r="H73" s="8"/>
      <c r="I73" s="8"/>
      <c r="J73" s="8"/>
      <c r="K73" s="8"/>
      <c r="L73" s="8"/>
      <c r="M73" s="8"/>
      <c r="N73" s="8"/>
      <c r="O73" s="8"/>
      <c r="P73" s="8"/>
      <c r="Q73" s="8"/>
      <c r="R73" s="6" t="s">
        <v>133</v>
      </c>
      <c r="S73" s="27">
        <f>25.3%</f>
        <v>0.253</v>
      </c>
      <c r="T73" s="8"/>
      <c r="U73" s="8"/>
      <c r="V73" s="8"/>
      <c r="W73" s="8"/>
      <c r="X73" s="8"/>
    </row>
    <row r="74" spans="1:24" x14ac:dyDescent="0.3">
      <c r="A74" s="8"/>
      <c r="B74" s="8"/>
      <c r="C74" s="8"/>
      <c r="D74" s="8"/>
      <c r="E74" s="8"/>
      <c r="F74" s="8"/>
      <c r="G74" s="8"/>
      <c r="H74" s="8"/>
      <c r="I74" s="8"/>
      <c r="J74" s="8"/>
      <c r="K74" s="8"/>
      <c r="L74" s="8"/>
      <c r="M74" s="8"/>
      <c r="N74" s="8"/>
      <c r="O74" s="8"/>
      <c r="P74" s="8"/>
      <c r="Q74" s="8"/>
      <c r="R74" s="6" t="s">
        <v>111</v>
      </c>
      <c r="S74" s="27">
        <f>21%</f>
        <v>0.21</v>
      </c>
      <c r="T74" s="8"/>
      <c r="U74" s="8"/>
      <c r="V74" s="8"/>
      <c r="W74" s="8"/>
      <c r="X74" s="8"/>
    </row>
    <row r="75" spans="1:24" x14ac:dyDescent="0.3">
      <c r="A75" s="8"/>
      <c r="B75" s="8"/>
      <c r="C75" s="8"/>
      <c r="D75" s="8"/>
      <c r="E75" s="8"/>
      <c r="F75" s="8"/>
      <c r="G75" s="8"/>
      <c r="H75" s="8"/>
      <c r="I75" s="8"/>
      <c r="J75" s="8"/>
      <c r="K75" s="8"/>
      <c r="L75" s="8"/>
      <c r="M75" s="8"/>
      <c r="N75" s="8"/>
      <c r="O75" s="8"/>
      <c r="P75" s="8"/>
      <c r="Q75" s="8"/>
      <c r="R75" s="6" t="s">
        <v>98</v>
      </c>
      <c r="S75" s="27">
        <f>20.3%</f>
        <v>0.20300000000000001</v>
      </c>
      <c r="T75" s="8"/>
      <c r="U75" s="8"/>
      <c r="V75" s="8"/>
      <c r="W75" s="8"/>
      <c r="X75" s="8"/>
    </row>
    <row r="76" spans="1:24" x14ac:dyDescent="0.3">
      <c r="A76" s="8"/>
      <c r="B76" s="8"/>
      <c r="C76" s="8"/>
      <c r="D76" s="8"/>
      <c r="E76" s="8"/>
      <c r="F76" s="8"/>
      <c r="G76" s="8"/>
      <c r="H76" s="8"/>
      <c r="I76" s="8"/>
      <c r="J76" s="8"/>
      <c r="K76" s="8"/>
      <c r="L76" s="8"/>
      <c r="M76" s="8"/>
      <c r="N76" s="8"/>
      <c r="O76" s="8"/>
      <c r="P76" s="8"/>
      <c r="Q76" s="8"/>
      <c r="R76" s="8"/>
      <c r="S76" s="8"/>
      <c r="T76" s="8"/>
      <c r="U76" s="8"/>
      <c r="V76" s="8"/>
      <c r="W76" s="8"/>
      <c r="X76" s="8"/>
    </row>
    <row r="77" spans="1:24" x14ac:dyDescent="0.3">
      <c r="A77" s="8"/>
      <c r="B77" s="8"/>
      <c r="C77" s="8"/>
      <c r="D77" s="8"/>
      <c r="E77" s="8"/>
      <c r="F77" s="8"/>
      <c r="G77" s="8"/>
      <c r="H77" s="8"/>
      <c r="I77" s="8"/>
      <c r="J77" s="8"/>
      <c r="K77" s="8"/>
      <c r="L77" s="8"/>
      <c r="M77" s="8"/>
      <c r="N77" s="8"/>
      <c r="O77" s="8"/>
      <c r="P77" s="8"/>
      <c r="Q77" s="8"/>
      <c r="R77" s="6" t="s">
        <v>187</v>
      </c>
      <c r="S77" s="45">
        <f>6186</f>
        <v>6186</v>
      </c>
      <c r="T77" s="8"/>
      <c r="U77" s="8"/>
      <c r="V77" s="8"/>
      <c r="W77" s="8"/>
      <c r="X77" s="8"/>
    </row>
    <row r="78" spans="1:24" x14ac:dyDescent="0.3">
      <c r="A78" s="8"/>
      <c r="B78" s="8"/>
      <c r="C78" s="8"/>
      <c r="D78" s="8"/>
      <c r="E78" s="8"/>
      <c r="F78" s="8"/>
      <c r="G78" s="8"/>
      <c r="H78" s="8"/>
      <c r="I78" s="8"/>
      <c r="J78" s="8"/>
      <c r="K78" s="8"/>
      <c r="L78" s="8"/>
      <c r="M78" s="8"/>
      <c r="N78" s="8"/>
      <c r="O78" s="8"/>
      <c r="P78" s="8"/>
      <c r="Q78" s="8"/>
      <c r="R78" s="6" t="s">
        <v>188</v>
      </c>
      <c r="S78" s="45">
        <f>1567</f>
        <v>1567</v>
      </c>
      <c r="T78" s="8"/>
      <c r="U78" s="8"/>
      <c r="V78" s="8"/>
      <c r="W78" s="8"/>
      <c r="X78" s="8"/>
    </row>
    <row r="79" spans="1:24" x14ac:dyDescent="0.3">
      <c r="A79" s="8"/>
      <c r="B79" s="8"/>
      <c r="C79" s="8"/>
      <c r="D79" s="8"/>
      <c r="E79" s="8"/>
      <c r="F79" s="8"/>
      <c r="G79" s="8"/>
      <c r="H79" s="8"/>
      <c r="I79" s="8"/>
      <c r="J79" s="8"/>
      <c r="K79" s="8"/>
      <c r="L79" s="8"/>
      <c r="M79" s="8"/>
      <c r="N79" s="8"/>
      <c r="O79" s="8"/>
      <c r="P79" s="8"/>
      <c r="Q79" s="8"/>
      <c r="R79" s="6" t="s">
        <v>189</v>
      </c>
      <c r="S79" s="45">
        <f>2484</f>
        <v>2484</v>
      </c>
      <c r="T79" s="8"/>
      <c r="U79" s="8"/>
      <c r="V79" s="8"/>
      <c r="W79" s="8"/>
      <c r="X79" s="8"/>
    </row>
    <row r="80" spans="1:24" x14ac:dyDescent="0.3">
      <c r="A80" s="8"/>
      <c r="B80" s="8"/>
      <c r="C80" s="8"/>
      <c r="D80" s="8"/>
      <c r="E80" s="8"/>
      <c r="F80" s="8"/>
      <c r="G80" s="8"/>
      <c r="H80" s="8"/>
      <c r="I80" s="8"/>
      <c r="J80" s="8"/>
      <c r="K80" s="8"/>
      <c r="L80" s="8"/>
      <c r="M80" s="8"/>
      <c r="N80" s="8"/>
      <c r="O80" s="8"/>
      <c r="P80" s="8"/>
      <c r="Q80" s="8"/>
      <c r="R80" s="6" t="s">
        <v>190</v>
      </c>
      <c r="S80" s="45">
        <f>522</f>
        <v>522</v>
      </c>
      <c r="T80" s="8"/>
      <c r="U80" s="8"/>
      <c r="V80" s="8"/>
      <c r="W80" s="8"/>
      <c r="X80" s="8"/>
    </row>
    <row r="81" spans="1:24" x14ac:dyDescent="0.3">
      <c r="A81" s="8"/>
      <c r="B81" s="8"/>
      <c r="C81" s="8"/>
      <c r="D81" s="8"/>
      <c r="E81" s="8"/>
      <c r="F81" s="8"/>
      <c r="G81" s="8"/>
      <c r="H81" s="8"/>
      <c r="I81" s="8"/>
      <c r="J81" s="8"/>
      <c r="K81" s="8"/>
      <c r="L81" s="8"/>
      <c r="M81" s="8"/>
      <c r="N81" s="8"/>
      <c r="O81" s="8"/>
      <c r="P81" s="8"/>
      <c r="Q81" s="8"/>
      <c r="R81" s="6" t="s">
        <v>191</v>
      </c>
      <c r="S81" s="45">
        <f>2604</f>
        <v>2604</v>
      </c>
      <c r="T81" s="8"/>
      <c r="U81" s="8"/>
      <c r="V81" s="8"/>
      <c r="W81" s="8"/>
      <c r="X81" s="8"/>
    </row>
    <row r="82" spans="1:24" x14ac:dyDescent="0.3">
      <c r="A82" s="8"/>
      <c r="B82" s="8"/>
      <c r="C82" s="8"/>
      <c r="D82" s="8"/>
      <c r="E82" s="8"/>
      <c r="F82" s="8"/>
      <c r="G82" s="8"/>
      <c r="H82" s="8"/>
      <c r="I82" s="8"/>
      <c r="J82" s="8"/>
      <c r="K82" s="8"/>
      <c r="L82" s="8"/>
      <c r="M82" s="8"/>
      <c r="N82" s="8"/>
      <c r="O82" s="8"/>
      <c r="P82" s="8"/>
      <c r="Q82" s="8"/>
      <c r="R82" s="6" t="s">
        <v>192</v>
      </c>
      <c r="S82" s="45">
        <f>528</f>
        <v>528</v>
      </c>
      <c r="T82" s="8"/>
      <c r="U82" s="8"/>
      <c r="V82" s="8"/>
      <c r="W82" s="8"/>
      <c r="X82" s="8"/>
    </row>
    <row r="83" spans="1:24" x14ac:dyDescent="0.3">
      <c r="A83" s="8"/>
      <c r="B83" s="8"/>
      <c r="C83" s="8"/>
      <c r="D83" s="8"/>
      <c r="E83" s="8"/>
      <c r="F83" s="8"/>
      <c r="G83" s="8"/>
      <c r="H83" s="8"/>
      <c r="I83" s="8"/>
      <c r="J83" s="8"/>
      <c r="K83" s="8"/>
      <c r="L83" s="8"/>
      <c r="M83" s="8"/>
      <c r="N83" s="8"/>
      <c r="O83" s="8"/>
      <c r="P83" s="8"/>
      <c r="Q83" s="8"/>
      <c r="R83" s="6" t="s">
        <v>193</v>
      </c>
      <c r="S83" s="45">
        <f>5</f>
        <v>5</v>
      </c>
      <c r="T83" s="8"/>
      <c r="U83" s="8"/>
      <c r="V83" s="8"/>
      <c r="W83" s="8"/>
      <c r="X83" s="8"/>
    </row>
    <row r="84" spans="1:24" x14ac:dyDescent="0.3">
      <c r="A84" s="8"/>
      <c r="B84" s="8"/>
      <c r="C84" s="8"/>
      <c r="D84" s="8"/>
      <c r="E84" s="8"/>
      <c r="F84" s="8"/>
      <c r="G84" s="8"/>
      <c r="H84" s="8"/>
      <c r="I84" s="8"/>
      <c r="J84" s="8"/>
      <c r="K84" s="8"/>
      <c r="L84" s="8"/>
      <c r="M84" s="8"/>
      <c r="N84" s="8"/>
      <c r="O84" s="8"/>
      <c r="P84" s="8"/>
      <c r="Q84" s="8"/>
      <c r="R84" s="6" t="s">
        <v>194</v>
      </c>
      <c r="S84" s="45">
        <f>-30</f>
        <v>-30</v>
      </c>
      <c r="T84" s="8"/>
      <c r="U84" s="8"/>
      <c r="V84" s="8"/>
      <c r="W84" s="8"/>
      <c r="X84" s="8"/>
    </row>
    <row r="85" spans="1:24" x14ac:dyDescent="0.3">
      <c r="A85" s="8"/>
      <c r="B85" s="8"/>
      <c r="C85" s="8"/>
      <c r="D85" s="8"/>
      <c r="E85" s="8"/>
      <c r="F85" s="8"/>
      <c r="G85" s="8"/>
      <c r="H85" s="8"/>
      <c r="I85" s="8"/>
      <c r="J85" s="8"/>
      <c r="K85" s="8"/>
      <c r="L85" s="8"/>
      <c r="M85" s="8"/>
      <c r="N85" s="8"/>
      <c r="O85" s="8"/>
      <c r="P85" s="8"/>
      <c r="Q85" s="8"/>
      <c r="R85" s="6" t="s">
        <v>195</v>
      </c>
      <c r="S85" s="45">
        <f>-53</f>
        <v>-53</v>
      </c>
      <c r="T85" s="8"/>
      <c r="U85" s="8"/>
      <c r="V85" s="8"/>
      <c r="W85" s="8"/>
      <c r="X85" s="8"/>
    </row>
    <row r="86" spans="1:24" x14ac:dyDescent="0.3">
      <c r="A86" s="8"/>
      <c r="B86" s="8"/>
      <c r="C86" s="8"/>
      <c r="D86" s="8"/>
      <c r="E86" s="8"/>
      <c r="F86" s="8"/>
      <c r="G86" s="8"/>
      <c r="H86" s="8"/>
      <c r="I86" s="8"/>
      <c r="J86" s="8"/>
      <c r="K86" s="8"/>
      <c r="L86" s="8"/>
      <c r="M86" s="8"/>
      <c r="N86" s="8"/>
      <c r="O86" s="8"/>
      <c r="P86" s="8"/>
      <c r="Q86" s="8"/>
      <c r="R86" s="8"/>
      <c r="S86" s="8"/>
      <c r="T86" s="8"/>
      <c r="U86" s="8"/>
      <c r="V86" s="8"/>
      <c r="W86" s="8"/>
      <c r="X86" s="8"/>
    </row>
    <row r="87" spans="1:24" x14ac:dyDescent="0.3">
      <c r="A87" s="8"/>
      <c r="B87" s="8"/>
      <c r="C87" s="8"/>
      <c r="D87" s="8"/>
      <c r="E87" s="8"/>
      <c r="F87" s="8"/>
      <c r="G87" s="8"/>
      <c r="H87" s="8"/>
      <c r="I87" s="8"/>
      <c r="J87" s="8"/>
      <c r="K87" s="8"/>
      <c r="L87" s="8"/>
      <c r="M87" s="8"/>
      <c r="N87" s="8"/>
      <c r="O87" s="8"/>
      <c r="P87" s="8"/>
      <c r="Q87" s="8"/>
      <c r="R87" s="74" t="s">
        <v>196</v>
      </c>
      <c r="S87" s="75"/>
      <c r="T87" s="8"/>
      <c r="U87" s="8"/>
      <c r="V87" s="8"/>
      <c r="W87" s="8"/>
      <c r="X87" s="8"/>
    </row>
    <row r="88" spans="1:24" x14ac:dyDescent="0.3">
      <c r="A88" s="8"/>
      <c r="B88" s="8"/>
      <c r="C88" s="8"/>
      <c r="D88" s="8"/>
      <c r="E88" s="8"/>
      <c r="F88" s="8"/>
      <c r="G88" s="8"/>
      <c r="H88" s="8"/>
      <c r="I88" s="8"/>
      <c r="J88" s="8"/>
      <c r="K88" s="8"/>
      <c r="L88" s="8"/>
      <c r="M88" s="8"/>
      <c r="N88" s="8"/>
      <c r="O88" s="8"/>
      <c r="P88" s="8"/>
      <c r="Q88" s="8"/>
      <c r="R88" s="6" t="s">
        <v>197</v>
      </c>
      <c r="S88" s="45">
        <f>4786</f>
        <v>4786</v>
      </c>
      <c r="T88" s="8"/>
      <c r="U88" s="8"/>
      <c r="V88" s="8"/>
      <c r="W88" s="8"/>
      <c r="X88" s="8"/>
    </row>
    <row r="89" spans="1:24" x14ac:dyDescent="0.3">
      <c r="A89" s="8"/>
      <c r="B89" s="8"/>
      <c r="C89" s="8"/>
      <c r="D89" s="8"/>
      <c r="E89" s="8"/>
      <c r="F89" s="8"/>
      <c r="G89" s="8"/>
      <c r="H89" s="8"/>
      <c r="I89" s="8"/>
      <c r="J89" s="8"/>
      <c r="K89" s="8"/>
      <c r="L89" s="8"/>
      <c r="M89" s="8"/>
      <c r="N89" s="8"/>
      <c r="O89" s="8"/>
      <c r="P89" s="8"/>
      <c r="Q89" s="8"/>
      <c r="R89" s="6" t="s">
        <v>198</v>
      </c>
      <c r="S89" s="45">
        <f>2223</f>
        <v>2223</v>
      </c>
      <c r="T89" s="8"/>
      <c r="U89" s="8"/>
      <c r="V89" s="8"/>
      <c r="W89" s="8"/>
      <c r="X89" s="8"/>
    </row>
    <row r="90" spans="1:24" x14ac:dyDescent="0.3">
      <c r="A90" s="8"/>
      <c r="B90" s="8"/>
      <c r="C90" s="8"/>
      <c r="D90" s="8"/>
      <c r="E90" s="8"/>
      <c r="F90" s="8"/>
      <c r="G90" s="8"/>
      <c r="H90" s="8"/>
      <c r="I90" s="8"/>
      <c r="J90" s="8"/>
      <c r="K90" s="8"/>
      <c r="L90" s="8"/>
      <c r="M90" s="8"/>
      <c r="N90" s="8"/>
      <c r="O90" s="8"/>
      <c r="P90" s="8"/>
      <c r="Q90" s="8"/>
      <c r="R90" s="6" t="s">
        <v>199</v>
      </c>
      <c r="S90" s="45">
        <f>2042</f>
        <v>2042</v>
      </c>
      <c r="T90" s="8"/>
      <c r="U90" s="8"/>
      <c r="V90" s="8"/>
      <c r="W90" s="8"/>
      <c r="X90" s="8"/>
    </row>
    <row r="91" spans="1:24" x14ac:dyDescent="0.3">
      <c r="A91" s="8"/>
      <c r="B91" s="8"/>
      <c r="C91" s="8"/>
      <c r="D91" s="8"/>
      <c r="E91" s="8"/>
      <c r="F91" s="8"/>
      <c r="G91" s="8"/>
      <c r="H91" s="8"/>
      <c r="I91" s="8"/>
      <c r="J91" s="8"/>
      <c r="K91" s="8"/>
      <c r="L91" s="8"/>
      <c r="M91" s="8"/>
      <c r="N91" s="8"/>
      <c r="O91" s="8"/>
      <c r="P91" s="8"/>
      <c r="Q91" s="8"/>
      <c r="R91" s="6" t="s">
        <v>200</v>
      </c>
      <c r="S91" s="45">
        <f>6</f>
        <v>6</v>
      </c>
      <c r="T91" s="8"/>
      <c r="U91" s="8"/>
      <c r="V91" s="8"/>
      <c r="W91" s="8"/>
      <c r="X91" s="8"/>
    </row>
    <row r="92" spans="1:24" x14ac:dyDescent="0.3">
      <c r="A92" s="8"/>
      <c r="B92" s="8"/>
      <c r="C92" s="8"/>
      <c r="D92" s="8"/>
      <c r="E92" s="8"/>
      <c r="F92" s="8"/>
      <c r="G92" s="8"/>
      <c r="H92" s="8"/>
      <c r="I92" s="8"/>
      <c r="J92" s="8"/>
      <c r="K92" s="8"/>
      <c r="L92" s="8"/>
      <c r="M92" s="8"/>
      <c r="N92" s="8"/>
      <c r="O92" s="8"/>
      <c r="P92" s="8"/>
      <c r="Q92" s="8"/>
      <c r="R92" s="8"/>
      <c r="S92" s="46"/>
      <c r="T92" s="8"/>
      <c r="U92" s="8"/>
      <c r="V92" s="8"/>
      <c r="W92" s="8"/>
      <c r="X92" s="8"/>
    </row>
    <row r="93" spans="1:24" x14ac:dyDescent="0.3">
      <c r="A93" s="8"/>
      <c r="B93" s="8"/>
      <c r="C93" s="8"/>
      <c r="D93" s="8"/>
      <c r="E93" s="8"/>
      <c r="F93" s="8"/>
      <c r="G93" s="8"/>
      <c r="H93" s="8"/>
      <c r="I93" s="8"/>
      <c r="J93" s="8"/>
      <c r="K93" s="8"/>
      <c r="L93" s="8"/>
      <c r="M93" s="8"/>
      <c r="N93" s="8"/>
      <c r="O93" s="8"/>
      <c r="P93" s="8"/>
      <c r="Q93" s="8"/>
      <c r="R93" s="6" t="s">
        <v>201</v>
      </c>
      <c r="S93" s="45">
        <f>K5-S88</f>
        <v>5596</v>
      </c>
      <c r="T93" s="8"/>
      <c r="U93" s="8"/>
      <c r="V93" s="8"/>
      <c r="W93" s="8"/>
      <c r="X93" s="8"/>
    </row>
    <row r="94" spans="1:24" x14ac:dyDescent="0.3">
      <c r="A94" s="8"/>
      <c r="B94" s="8"/>
      <c r="C94" s="8"/>
      <c r="D94" s="8"/>
      <c r="E94" s="8"/>
      <c r="F94" s="8"/>
      <c r="G94" s="8"/>
      <c r="H94" s="8"/>
      <c r="I94" s="8"/>
      <c r="J94" s="8"/>
      <c r="K94" s="8"/>
      <c r="L94" s="8"/>
      <c r="M94" s="8"/>
      <c r="N94" s="8"/>
      <c r="O94" s="8"/>
      <c r="P94" s="8"/>
      <c r="Q94" s="8"/>
      <c r="R94" s="6" t="s">
        <v>202</v>
      </c>
      <c r="S94" s="45">
        <f>K8-S89</f>
        <v>2549</v>
      </c>
      <c r="T94" s="8"/>
      <c r="U94" s="8"/>
      <c r="V94" s="8"/>
      <c r="W94" s="8"/>
      <c r="X94" s="8"/>
    </row>
    <row r="95" spans="1:24" x14ac:dyDescent="0.3">
      <c r="A95" s="8"/>
      <c r="B95" s="8"/>
      <c r="C95" s="8"/>
      <c r="D95" s="8"/>
      <c r="E95" s="8"/>
      <c r="F95" s="8"/>
      <c r="G95" s="8"/>
      <c r="H95" s="8"/>
      <c r="I95" s="8"/>
      <c r="J95" s="8"/>
      <c r="K95" s="8"/>
      <c r="L95" s="8"/>
      <c r="M95" s="8"/>
      <c r="N95" s="8"/>
      <c r="O95" s="8"/>
      <c r="P95" s="8"/>
      <c r="Q95" s="8"/>
      <c r="R95" s="6" t="s">
        <v>203</v>
      </c>
      <c r="S95" s="45">
        <f>K11-S90</f>
        <v>2850</v>
      </c>
      <c r="T95" s="8"/>
      <c r="U95" s="8"/>
      <c r="V95" s="8"/>
      <c r="W95" s="8"/>
      <c r="X95" s="8"/>
    </row>
    <row r="96" spans="1:24" x14ac:dyDescent="0.3">
      <c r="A96" s="8"/>
      <c r="B96" s="8"/>
      <c r="C96" s="8"/>
      <c r="D96" s="8"/>
      <c r="E96" s="8"/>
      <c r="F96" s="8"/>
      <c r="G96" s="8"/>
      <c r="H96" s="8"/>
      <c r="I96" s="8"/>
      <c r="J96" s="8"/>
      <c r="K96" s="8"/>
      <c r="L96" s="8"/>
      <c r="M96" s="8"/>
      <c r="N96" s="8"/>
      <c r="O96" s="8"/>
      <c r="P96" s="8"/>
      <c r="Q96" s="8"/>
      <c r="R96" s="6" t="s">
        <v>204</v>
      </c>
      <c r="S96" s="45">
        <f>K14-S91</f>
        <v>7</v>
      </c>
      <c r="T96" s="8"/>
      <c r="U96" s="8"/>
      <c r="V96" s="8"/>
      <c r="W96" s="8"/>
      <c r="X96" s="8"/>
    </row>
    <row r="97" spans="1:24" x14ac:dyDescent="0.3">
      <c r="A97" s="8"/>
      <c r="B97" s="8"/>
      <c r="C97" s="8"/>
      <c r="D97" s="8"/>
      <c r="E97" s="8"/>
      <c r="F97" s="8"/>
      <c r="G97" s="8"/>
      <c r="H97" s="8"/>
      <c r="I97" s="8"/>
      <c r="J97" s="8"/>
      <c r="K97" s="8"/>
      <c r="L97" s="8"/>
      <c r="M97" s="8"/>
      <c r="N97" s="8"/>
      <c r="O97" s="8"/>
      <c r="P97" s="8"/>
      <c r="Q97" s="8"/>
      <c r="R97" s="8"/>
      <c r="S97" s="8"/>
      <c r="T97" s="8"/>
      <c r="U97" s="8"/>
      <c r="V97" s="8"/>
      <c r="W97" s="8"/>
      <c r="X97" s="8"/>
    </row>
    <row r="98" spans="1:24" x14ac:dyDescent="0.3">
      <c r="A98" s="8"/>
      <c r="B98" s="8"/>
      <c r="C98" s="8"/>
      <c r="D98" s="8"/>
      <c r="E98" s="8"/>
      <c r="F98" s="8"/>
      <c r="G98" s="8"/>
      <c r="H98" s="8"/>
      <c r="I98" s="8"/>
      <c r="J98" s="8"/>
      <c r="K98" s="8"/>
      <c r="L98" s="46"/>
      <c r="M98" s="8"/>
      <c r="N98" s="8"/>
      <c r="O98" s="8"/>
      <c r="P98" s="8"/>
      <c r="Q98" s="8"/>
      <c r="R98" s="6" t="s">
        <v>205</v>
      </c>
      <c r="S98" s="45">
        <f>S93*(1+$S$21)</f>
        <v>6426.7336283185841</v>
      </c>
      <c r="T98" s="8"/>
      <c r="U98" s="8"/>
      <c r="V98" s="8"/>
      <c r="W98" s="8"/>
      <c r="X98" s="8"/>
    </row>
    <row r="99" spans="1:24" x14ac:dyDescent="0.3">
      <c r="A99" s="8"/>
      <c r="B99" s="8"/>
      <c r="C99" s="8"/>
      <c r="D99" s="8"/>
      <c r="E99" s="8"/>
      <c r="F99" s="8"/>
      <c r="G99" s="8"/>
      <c r="H99" s="8"/>
      <c r="I99" s="8"/>
      <c r="J99" s="8"/>
      <c r="K99" s="8"/>
      <c r="L99" s="46"/>
      <c r="M99" s="8"/>
      <c r="N99" s="8"/>
      <c r="O99" s="8"/>
      <c r="P99" s="8"/>
      <c r="Q99" s="8"/>
      <c r="R99" s="6" t="s">
        <v>206</v>
      </c>
      <c r="S99" s="45">
        <f>S94*(1+$S$22)</f>
        <v>2771.6288387900104</v>
      </c>
      <c r="T99" s="8"/>
      <c r="U99" s="8"/>
      <c r="V99" s="8"/>
      <c r="W99" s="8"/>
      <c r="X99" s="8"/>
    </row>
    <row r="100" spans="1:24" x14ac:dyDescent="0.3">
      <c r="A100" s="8"/>
      <c r="B100" s="8"/>
      <c r="C100" s="8"/>
      <c r="D100" s="8"/>
      <c r="E100" s="8"/>
      <c r="F100" s="8"/>
      <c r="G100" s="8"/>
      <c r="H100" s="8"/>
      <c r="I100" s="8"/>
      <c r="J100" s="8"/>
      <c r="K100" s="8"/>
      <c r="L100" s="46"/>
      <c r="M100" s="8"/>
      <c r="N100" s="8"/>
      <c r="O100" s="8"/>
      <c r="P100" s="8"/>
      <c r="Q100" s="8"/>
      <c r="R100" s="6" t="s">
        <v>207</v>
      </c>
      <c r="S100" s="45">
        <f>S95*(1+$S$23)</f>
        <v>3200.1843677008878</v>
      </c>
      <c r="T100" s="8"/>
      <c r="U100" s="8"/>
      <c r="V100" s="8"/>
      <c r="W100" s="8"/>
      <c r="X100" s="8"/>
    </row>
    <row r="101" spans="1:24" x14ac:dyDescent="0.3">
      <c r="A101" s="8"/>
      <c r="B101" s="8"/>
      <c r="C101" s="8"/>
      <c r="D101" s="8"/>
      <c r="E101" s="8"/>
      <c r="F101" s="8"/>
      <c r="G101" s="8"/>
      <c r="H101" s="8"/>
      <c r="I101" s="8"/>
      <c r="J101" s="8"/>
      <c r="K101" s="8"/>
      <c r="L101" s="46"/>
      <c r="M101" s="8"/>
      <c r="N101" s="8"/>
      <c r="O101" s="8"/>
      <c r="P101" s="8"/>
      <c r="Q101" s="8"/>
      <c r="R101" s="6" t="s">
        <v>208</v>
      </c>
      <c r="S101" s="45">
        <f>S96</f>
        <v>7</v>
      </c>
      <c r="T101" s="8"/>
      <c r="U101" s="8"/>
      <c r="V101" s="8"/>
      <c r="W101" s="8"/>
      <c r="X101" s="8"/>
    </row>
    <row r="102" spans="1:24" x14ac:dyDescent="0.3">
      <c r="A102" s="8"/>
      <c r="B102" s="8"/>
      <c r="C102" s="8"/>
      <c r="D102" s="8"/>
      <c r="E102" s="8"/>
      <c r="F102" s="8"/>
      <c r="G102" s="8"/>
      <c r="H102" s="8"/>
      <c r="I102" s="8"/>
      <c r="J102" s="8"/>
      <c r="K102" s="8"/>
      <c r="L102" s="8"/>
      <c r="M102" s="8"/>
      <c r="N102" s="8"/>
      <c r="O102" s="8"/>
      <c r="P102" s="8"/>
      <c r="Q102" s="8"/>
      <c r="R102" s="8"/>
      <c r="S102" s="46"/>
      <c r="T102" s="8"/>
      <c r="U102" s="8"/>
      <c r="V102" s="8"/>
      <c r="W102" s="8"/>
      <c r="X102" s="8"/>
    </row>
    <row r="103" spans="1:24" x14ac:dyDescent="0.3">
      <c r="A103" s="8"/>
      <c r="B103" s="8"/>
      <c r="C103" s="8"/>
      <c r="D103" s="8"/>
      <c r="E103" s="8"/>
      <c r="F103" s="8"/>
      <c r="G103" s="8"/>
      <c r="H103" s="8"/>
      <c r="I103" s="8"/>
      <c r="J103" s="8"/>
      <c r="K103" s="8"/>
      <c r="L103" s="8"/>
      <c r="M103" s="8"/>
      <c r="N103" s="8"/>
      <c r="O103" s="8"/>
      <c r="P103" s="8"/>
      <c r="Q103" s="8"/>
      <c r="R103" s="6" t="s">
        <v>209</v>
      </c>
      <c r="S103" s="45">
        <f>S77+S98</f>
        <v>12612.733628318583</v>
      </c>
      <c r="T103" s="8"/>
      <c r="U103" s="8"/>
      <c r="V103" s="8"/>
      <c r="W103" s="8"/>
      <c r="X103" s="8"/>
    </row>
    <row r="104" spans="1:24" x14ac:dyDescent="0.3">
      <c r="A104" s="8"/>
      <c r="B104" s="8"/>
      <c r="C104" s="8"/>
      <c r="D104" s="8"/>
      <c r="E104" s="8"/>
      <c r="F104" s="8"/>
      <c r="G104" s="8"/>
      <c r="H104" s="8"/>
      <c r="I104" s="8"/>
      <c r="J104" s="8"/>
      <c r="K104" s="8"/>
      <c r="L104" s="46"/>
      <c r="M104" s="8"/>
      <c r="N104" s="8"/>
      <c r="O104" s="8"/>
      <c r="P104" s="8"/>
      <c r="Q104" s="8"/>
      <c r="R104" s="6" t="s">
        <v>210</v>
      </c>
      <c r="S104" s="45">
        <f>S79+S99</f>
        <v>5255.6288387900104</v>
      </c>
      <c r="T104" s="8"/>
      <c r="U104" s="8"/>
      <c r="V104" s="8"/>
      <c r="W104" s="8"/>
      <c r="X104" s="8"/>
    </row>
    <row r="105" spans="1:24" x14ac:dyDescent="0.3">
      <c r="A105" s="8"/>
      <c r="B105" s="8"/>
      <c r="C105" s="8"/>
      <c r="D105" s="8"/>
      <c r="E105" s="8"/>
      <c r="F105" s="8"/>
      <c r="G105" s="8"/>
      <c r="H105" s="8"/>
      <c r="I105" s="8"/>
      <c r="J105" s="8"/>
      <c r="K105" s="8"/>
      <c r="L105" s="46"/>
      <c r="M105" s="8"/>
      <c r="N105" s="8"/>
      <c r="O105" s="8"/>
      <c r="P105" s="8"/>
      <c r="Q105" s="8"/>
      <c r="R105" s="6" t="s">
        <v>211</v>
      </c>
      <c r="S105" s="45">
        <f>S81+S100</f>
        <v>5804.1843677008874</v>
      </c>
      <c r="T105" s="8"/>
      <c r="U105" s="8"/>
      <c r="V105" s="8"/>
      <c r="W105" s="8"/>
      <c r="X105" s="8"/>
    </row>
    <row r="106" spans="1:24" x14ac:dyDescent="0.3">
      <c r="A106" s="8"/>
      <c r="B106" s="8"/>
      <c r="C106" s="8"/>
      <c r="D106" s="8"/>
      <c r="E106" s="8"/>
      <c r="F106" s="8"/>
      <c r="G106" s="8"/>
      <c r="H106" s="8"/>
      <c r="I106" s="8"/>
      <c r="J106" s="8"/>
      <c r="K106" s="8"/>
      <c r="L106" s="46"/>
      <c r="M106" s="8"/>
      <c r="N106" s="8"/>
      <c r="O106" s="8"/>
      <c r="P106" s="8"/>
      <c r="Q106" s="8"/>
      <c r="R106" s="6" t="s">
        <v>212</v>
      </c>
      <c r="S106" s="45">
        <f>S83+S101</f>
        <v>12</v>
      </c>
      <c r="T106" s="8"/>
      <c r="U106" s="8"/>
      <c r="V106" s="8"/>
      <c r="W106" s="8"/>
      <c r="X106" s="8"/>
    </row>
    <row r="107" spans="1:24" x14ac:dyDescent="0.3">
      <c r="A107" s="8"/>
      <c r="B107" s="8"/>
      <c r="C107" s="8"/>
      <c r="D107" s="8"/>
      <c r="E107" s="8"/>
      <c r="F107" s="8"/>
      <c r="G107" s="8"/>
      <c r="H107" s="8"/>
      <c r="I107" s="8"/>
      <c r="J107" s="8"/>
      <c r="K107" s="8"/>
      <c r="L107" s="46"/>
      <c r="M107" s="8"/>
      <c r="N107" s="8"/>
      <c r="O107" s="8"/>
      <c r="P107" s="8"/>
      <c r="Q107" s="8"/>
      <c r="R107" s="6" t="s">
        <v>213</v>
      </c>
      <c r="S107" s="45">
        <f>SUM(S103:S106)</f>
        <v>23684.54683480948</v>
      </c>
      <c r="T107" s="8"/>
      <c r="U107" s="8"/>
      <c r="V107" s="8"/>
      <c r="W107" s="8"/>
      <c r="X107" s="8"/>
    </row>
    <row r="108" spans="1:24" x14ac:dyDescent="0.3">
      <c r="A108" s="8"/>
      <c r="B108" s="8"/>
      <c r="C108" s="8"/>
      <c r="D108" s="8"/>
      <c r="E108" s="8"/>
      <c r="F108" s="8"/>
      <c r="G108" s="8"/>
      <c r="H108" s="8"/>
      <c r="I108" s="8"/>
      <c r="J108" s="8"/>
      <c r="K108" s="8"/>
      <c r="L108" s="46"/>
      <c r="M108" s="8"/>
      <c r="N108" s="8"/>
      <c r="O108" s="8"/>
      <c r="P108" s="8"/>
      <c r="Q108" s="8"/>
      <c r="R108" s="8"/>
      <c r="S108" s="46"/>
      <c r="T108" s="8"/>
      <c r="U108" s="8"/>
      <c r="V108" s="8"/>
      <c r="W108" s="8"/>
      <c r="X108" s="8"/>
    </row>
    <row r="109" spans="1:24" x14ac:dyDescent="0.3">
      <c r="A109" s="8"/>
      <c r="B109" s="8"/>
      <c r="C109" s="8"/>
      <c r="D109" s="8"/>
      <c r="E109" s="8"/>
      <c r="F109" s="8"/>
      <c r="G109" s="8"/>
      <c r="H109" s="8"/>
      <c r="I109" s="8"/>
      <c r="J109" s="8"/>
      <c r="K109" s="8"/>
      <c r="L109" s="8"/>
      <c r="M109" s="8"/>
      <c r="N109" s="8"/>
      <c r="O109" s="8"/>
      <c r="P109" s="8"/>
      <c r="Q109" s="8"/>
      <c r="R109" s="74" t="s">
        <v>214</v>
      </c>
      <c r="S109" s="75"/>
      <c r="T109" s="8"/>
      <c r="U109" s="8"/>
      <c r="V109" s="8"/>
      <c r="W109" s="8"/>
      <c r="X109" s="8"/>
    </row>
    <row r="110" spans="1:24" x14ac:dyDescent="0.3">
      <c r="A110" s="8"/>
      <c r="B110" s="8"/>
      <c r="C110" s="8"/>
      <c r="D110" s="8"/>
      <c r="E110" s="8"/>
      <c r="F110" s="8"/>
      <c r="G110" s="8"/>
      <c r="H110" s="8"/>
      <c r="I110" s="8"/>
      <c r="J110" s="8"/>
      <c r="K110" s="8"/>
      <c r="L110" s="8"/>
      <c r="M110" s="8"/>
      <c r="N110" s="8"/>
      <c r="O110" s="8"/>
      <c r="P110" s="8"/>
      <c r="Q110" s="8"/>
      <c r="R110" s="6" t="s">
        <v>215</v>
      </c>
      <c r="S110" s="31">
        <f>$S$31</f>
        <v>0.22</v>
      </c>
      <c r="T110" s="8"/>
      <c r="U110" s="8"/>
      <c r="V110" s="8"/>
      <c r="W110" s="8"/>
      <c r="X110" s="8"/>
    </row>
    <row r="111" spans="1:24" x14ac:dyDescent="0.3">
      <c r="A111" s="8"/>
      <c r="B111" s="8"/>
      <c r="C111" s="8"/>
      <c r="D111" s="8"/>
      <c r="E111" s="8"/>
      <c r="F111" s="8"/>
      <c r="G111" s="8"/>
      <c r="H111" s="8"/>
      <c r="I111" s="8"/>
      <c r="J111" s="8"/>
      <c r="K111" s="8"/>
      <c r="L111" s="8"/>
      <c r="M111" s="8"/>
      <c r="N111" s="8"/>
      <c r="O111" s="8"/>
      <c r="P111" s="8"/>
      <c r="Q111" s="8"/>
      <c r="R111" s="6" t="s">
        <v>216</v>
      </c>
      <c r="S111" s="31">
        <f>S$32</f>
        <v>0.15000000000000002</v>
      </c>
      <c r="T111" s="8"/>
      <c r="U111" s="8"/>
      <c r="V111" s="8"/>
      <c r="W111" s="8"/>
      <c r="X111" s="8"/>
    </row>
    <row r="112" spans="1:24" x14ac:dyDescent="0.3">
      <c r="A112" s="8"/>
      <c r="B112" s="8"/>
      <c r="C112" s="8"/>
      <c r="D112" s="8"/>
      <c r="E112" s="8"/>
      <c r="F112" s="8"/>
      <c r="G112" s="8"/>
      <c r="H112" s="8"/>
      <c r="I112" s="8"/>
      <c r="J112" s="8"/>
      <c r="K112" s="8"/>
      <c r="L112" s="8"/>
      <c r="M112" s="8"/>
      <c r="N112" s="8"/>
      <c r="O112" s="8"/>
      <c r="P112" s="8"/>
      <c r="Q112" s="8"/>
      <c r="R112" s="6" t="s">
        <v>217</v>
      </c>
      <c r="S112" s="31">
        <f>S$33</f>
        <v>0.19</v>
      </c>
      <c r="T112" s="8"/>
      <c r="U112" s="8"/>
      <c r="V112" s="8"/>
      <c r="W112" s="8"/>
      <c r="X112" s="8"/>
    </row>
    <row r="113" spans="1:24" x14ac:dyDescent="0.3">
      <c r="A113" s="8"/>
      <c r="B113" s="8"/>
      <c r="C113" s="8"/>
      <c r="D113" s="8"/>
      <c r="E113" s="8"/>
      <c r="F113" s="8"/>
      <c r="G113" s="8"/>
      <c r="H113" s="8"/>
      <c r="I113" s="8"/>
      <c r="J113" s="8"/>
      <c r="K113" s="8"/>
      <c r="L113" s="8"/>
      <c r="M113" s="8"/>
      <c r="N113" s="8"/>
      <c r="O113" s="8"/>
      <c r="P113" s="8"/>
      <c r="Q113" s="8"/>
      <c r="R113" s="6" t="s">
        <v>218</v>
      </c>
      <c r="S113" s="54">
        <f>-115</f>
        <v>-115</v>
      </c>
      <c r="T113" s="8"/>
      <c r="U113" s="8"/>
      <c r="V113" s="8"/>
      <c r="W113" s="8"/>
      <c r="X113" s="8"/>
    </row>
    <row r="114" spans="1:24" x14ac:dyDescent="0.3">
      <c r="A114" s="8"/>
      <c r="B114" s="8"/>
      <c r="C114" s="8"/>
      <c r="D114" s="8"/>
      <c r="E114" s="8"/>
      <c r="F114" s="8"/>
      <c r="G114" s="8"/>
      <c r="H114" s="8"/>
      <c r="I114" s="8"/>
      <c r="J114" s="8"/>
      <c r="K114" s="8"/>
      <c r="L114" s="8"/>
      <c r="M114" s="8"/>
      <c r="N114" s="8"/>
      <c r="O114" s="8"/>
      <c r="P114" s="8"/>
      <c r="Q114" s="8"/>
      <c r="R114" s="6" t="s">
        <v>219</v>
      </c>
      <c r="S114" s="45">
        <f>K31-S113</f>
        <v>-94</v>
      </c>
      <c r="T114" s="8"/>
      <c r="U114" s="8"/>
      <c r="V114" s="8"/>
      <c r="W114" s="8"/>
      <c r="X114" s="8"/>
    </row>
    <row r="115" spans="1:24"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row>
    <row r="116" spans="1:24" x14ac:dyDescent="0.3">
      <c r="A116" s="8"/>
      <c r="B116" s="8"/>
      <c r="C116" s="8"/>
      <c r="D116" s="8"/>
      <c r="E116" s="8"/>
      <c r="F116" s="8"/>
      <c r="G116" s="8"/>
      <c r="H116" s="8"/>
      <c r="I116" s="8"/>
      <c r="J116" s="8"/>
      <c r="K116" s="8"/>
      <c r="L116" s="8"/>
      <c r="M116" s="8"/>
      <c r="N116" s="8"/>
      <c r="O116" s="8"/>
      <c r="P116" s="8"/>
      <c r="Q116" s="8"/>
      <c r="R116" s="74" t="s">
        <v>220</v>
      </c>
      <c r="S116" s="75"/>
      <c r="T116" s="8"/>
      <c r="U116" s="8"/>
      <c r="V116" s="8"/>
      <c r="W116" s="8"/>
      <c r="X116" s="8"/>
    </row>
    <row r="117" spans="1:24" x14ac:dyDescent="0.3">
      <c r="A117" s="8"/>
      <c r="B117" s="8"/>
      <c r="C117" s="8"/>
      <c r="D117" s="8"/>
      <c r="E117" s="8"/>
      <c r="F117" s="8"/>
      <c r="G117" s="8"/>
      <c r="H117" s="8"/>
      <c r="I117" s="8"/>
      <c r="J117" s="8"/>
      <c r="K117" s="8"/>
      <c r="L117" s="8"/>
      <c r="M117" s="8"/>
      <c r="N117" s="8"/>
      <c r="O117" s="8"/>
      <c r="P117" s="8"/>
      <c r="Q117" s="8"/>
      <c r="R117" s="6" t="s">
        <v>221</v>
      </c>
      <c r="S117" s="45">
        <f>S98*S110</f>
        <v>1413.8813982300885</v>
      </c>
      <c r="T117" s="8"/>
      <c r="U117" s="8"/>
      <c r="V117" s="8"/>
      <c r="W117" s="8"/>
      <c r="X117" s="8"/>
    </row>
    <row r="118" spans="1:24" x14ac:dyDescent="0.3">
      <c r="A118" s="8"/>
      <c r="B118" s="8"/>
      <c r="C118" s="8"/>
      <c r="D118" s="8"/>
      <c r="E118" s="8"/>
      <c r="F118" s="8"/>
      <c r="G118" s="8"/>
      <c r="H118" s="8"/>
      <c r="I118" s="8"/>
      <c r="J118" s="8"/>
      <c r="K118" s="8"/>
      <c r="L118" s="8"/>
      <c r="M118" s="8"/>
      <c r="N118" s="8"/>
      <c r="O118" s="8"/>
      <c r="P118" s="8"/>
      <c r="Q118" s="8"/>
      <c r="R118" s="6" t="s">
        <v>222</v>
      </c>
      <c r="S118" s="45">
        <f>S99*S111</f>
        <v>415.74432581850164</v>
      </c>
      <c r="T118" s="8"/>
      <c r="U118" s="8"/>
      <c r="V118" s="8"/>
      <c r="W118" s="8"/>
      <c r="X118" s="8"/>
    </row>
    <row r="119" spans="1:24" x14ac:dyDescent="0.3">
      <c r="A119" s="8"/>
      <c r="B119" s="8"/>
      <c r="C119" s="8"/>
      <c r="D119" s="8"/>
      <c r="E119" s="8"/>
      <c r="F119" s="8"/>
      <c r="G119" s="8"/>
      <c r="H119" s="8"/>
      <c r="I119" s="8"/>
      <c r="J119" s="8"/>
      <c r="K119" s="8"/>
      <c r="L119" s="8"/>
      <c r="M119" s="8"/>
      <c r="N119" s="8"/>
      <c r="O119" s="8"/>
      <c r="P119" s="8"/>
      <c r="Q119" s="8"/>
      <c r="R119" s="6" t="s">
        <v>223</v>
      </c>
      <c r="S119" s="45">
        <f>S100*S112</f>
        <v>608.03502986316869</v>
      </c>
      <c r="T119" s="8"/>
      <c r="U119" s="8"/>
      <c r="V119" s="8"/>
      <c r="W119" s="8"/>
      <c r="X119" s="8"/>
    </row>
    <row r="120" spans="1:24" x14ac:dyDescent="0.3">
      <c r="A120" s="8"/>
      <c r="B120" s="8"/>
      <c r="C120" s="8"/>
      <c r="D120" s="8"/>
      <c r="E120" s="8"/>
      <c r="F120" s="8"/>
      <c r="G120" s="8"/>
      <c r="H120" s="8"/>
      <c r="I120" s="8"/>
      <c r="J120" s="8"/>
      <c r="K120" s="8"/>
      <c r="L120" s="8"/>
      <c r="M120" s="8"/>
      <c r="N120" s="8"/>
      <c r="O120" s="8"/>
      <c r="P120" s="8"/>
      <c r="Q120" s="8"/>
      <c r="R120" s="6" t="s">
        <v>224</v>
      </c>
      <c r="S120" s="45">
        <f>S114</f>
        <v>-94</v>
      </c>
      <c r="T120" s="8"/>
      <c r="U120" s="8"/>
      <c r="V120" s="8"/>
      <c r="W120" s="8"/>
      <c r="X120" s="8"/>
    </row>
    <row r="121" spans="1:24"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row>
    <row r="122" spans="1:24" x14ac:dyDescent="0.3">
      <c r="A122" s="8"/>
      <c r="B122" s="8"/>
      <c r="C122" s="8"/>
      <c r="D122" s="8"/>
      <c r="E122" s="8"/>
      <c r="F122" s="8"/>
      <c r="G122" s="8"/>
      <c r="H122" s="8"/>
      <c r="I122" s="8"/>
      <c r="J122" s="8"/>
      <c r="K122" s="8"/>
      <c r="L122" s="8"/>
      <c r="M122" s="8"/>
      <c r="N122" s="8"/>
      <c r="O122" s="8"/>
      <c r="P122" s="8"/>
      <c r="Q122" s="8"/>
      <c r="R122" s="74" t="s">
        <v>225</v>
      </c>
      <c r="S122" s="75"/>
      <c r="T122" s="8"/>
      <c r="U122" s="8"/>
      <c r="V122" s="8"/>
      <c r="W122" s="8"/>
      <c r="X122" s="8"/>
    </row>
    <row r="123" spans="1:24" x14ac:dyDescent="0.3">
      <c r="A123" s="8"/>
      <c r="B123" s="8"/>
      <c r="C123" s="8"/>
      <c r="D123" s="8"/>
      <c r="E123" s="8"/>
      <c r="F123" s="8"/>
      <c r="G123" s="8"/>
      <c r="H123" s="8"/>
      <c r="I123" s="8"/>
      <c r="J123" s="8"/>
      <c r="K123" s="8"/>
      <c r="L123" s="8"/>
      <c r="M123" s="8"/>
      <c r="N123" s="8"/>
      <c r="O123" s="8"/>
      <c r="P123" s="8"/>
      <c r="Q123" s="8"/>
      <c r="R123" s="6" t="s">
        <v>133</v>
      </c>
      <c r="S123" s="45">
        <f>S78+S117</f>
        <v>2980.8813982300885</v>
      </c>
      <c r="T123" s="8"/>
      <c r="U123" s="8"/>
      <c r="V123" s="8"/>
      <c r="W123" s="8"/>
      <c r="X123" s="8"/>
    </row>
    <row r="124" spans="1:24" x14ac:dyDescent="0.3">
      <c r="A124" s="8"/>
      <c r="B124" s="8"/>
      <c r="C124" s="8"/>
      <c r="D124" s="8"/>
      <c r="E124" s="8"/>
      <c r="F124" s="8"/>
      <c r="G124" s="8"/>
      <c r="H124" s="8"/>
      <c r="I124" s="8"/>
      <c r="J124" s="8"/>
      <c r="K124" s="8"/>
      <c r="L124" s="8"/>
      <c r="M124" s="8"/>
      <c r="N124" s="8"/>
      <c r="O124" s="8"/>
      <c r="P124" s="8"/>
      <c r="Q124" s="8"/>
      <c r="R124" s="6" t="s">
        <v>111</v>
      </c>
      <c r="S124" s="45">
        <f>S80+S118</f>
        <v>937.74432581850169</v>
      </c>
      <c r="T124" s="8"/>
      <c r="U124" s="8"/>
      <c r="V124" s="8"/>
      <c r="W124" s="8"/>
      <c r="X124" s="8"/>
    </row>
    <row r="125" spans="1:24" x14ac:dyDescent="0.3">
      <c r="A125" s="8"/>
      <c r="B125" s="8"/>
      <c r="C125" s="8"/>
      <c r="D125" s="8"/>
      <c r="E125" s="8"/>
      <c r="F125" s="8"/>
      <c r="G125" s="8"/>
      <c r="H125" s="8"/>
      <c r="I125" s="8"/>
      <c r="J125" s="8"/>
      <c r="K125" s="8"/>
      <c r="L125" s="8"/>
      <c r="M125" s="8"/>
      <c r="N125" s="8"/>
      <c r="O125" s="8"/>
      <c r="P125" s="8"/>
      <c r="Q125" s="8"/>
      <c r="R125" s="6" t="s">
        <v>98</v>
      </c>
      <c r="S125" s="45">
        <f>S82+S119</f>
        <v>1136.0350298631688</v>
      </c>
      <c r="T125" s="8"/>
      <c r="U125" s="8"/>
      <c r="V125" s="8"/>
      <c r="W125" s="8"/>
      <c r="X125" s="8"/>
    </row>
    <row r="126" spans="1:24" x14ac:dyDescent="0.3">
      <c r="A126" s="8"/>
      <c r="B126" s="8"/>
      <c r="C126" s="8"/>
      <c r="D126" s="8"/>
      <c r="E126" s="8"/>
      <c r="F126" s="8"/>
      <c r="G126" s="8"/>
      <c r="H126" s="8"/>
      <c r="I126" s="8"/>
      <c r="J126" s="8"/>
      <c r="K126" s="8"/>
      <c r="L126" s="8"/>
      <c r="M126" s="8"/>
      <c r="N126" s="8"/>
      <c r="O126" s="8"/>
      <c r="P126" s="8"/>
      <c r="Q126" s="8"/>
      <c r="R126" s="6" t="s">
        <v>226</v>
      </c>
      <c r="S126" s="45">
        <f>S84+S85+S120</f>
        <v>-177</v>
      </c>
      <c r="T126" s="8"/>
      <c r="U126" s="8"/>
      <c r="V126" s="8"/>
      <c r="W126" s="8"/>
      <c r="X126" s="8"/>
    </row>
    <row r="127" spans="1:24" x14ac:dyDescent="0.3">
      <c r="A127" s="8"/>
      <c r="B127" s="8"/>
      <c r="C127" s="8"/>
      <c r="D127" s="8"/>
      <c r="E127" s="8"/>
      <c r="F127" s="8"/>
      <c r="G127" s="8"/>
      <c r="H127" s="8"/>
      <c r="I127" s="8"/>
      <c r="J127" s="8"/>
      <c r="K127" s="8"/>
      <c r="L127" s="8"/>
      <c r="M127" s="8"/>
      <c r="N127" s="8"/>
      <c r="O127" s="8"/>
      <c r="P127" s="8"/>
      <c r="Q127" s="8"/>
      <c r="R127" s="6" t="s">
        <v>227</v>
      </c>
      <c r="S127" s="45">
        <f>SUM(S123:S126)</f>
        <v>4877.6607539117595</v>
      </c>
      <c r="T127" s="8"/>
      <c r="U127" s="8"/>
      <c r="V127" s="8"/>
      <c r="W127" s="8"/>
      <c r="X127" s="8"/>
    </row>
    <row r="128" spans="1:24" x14ac:dyDescent="0.3">
      <c r="A128" s="8"/>
      <c r="B128" s="8"/>
      <c r="C128" s="8"/>
      <c r="D128" s="8"/>
      <c r="E128" s="8"/>
      <c r="F128" s="8"/>
      <c r="G128" s="8"/>
      <c r="H128" s="8"/>
      <c r="I128" s="8"/>
      <c r="J128" s="8"/>
      <c r="K128" s="8"/>
      <c r="L128" s="8"/>
      <c r="M128" s="8"/>
      <c r="N128" s="8"/>
      <c r="O128" s="8"/>
      <c r="P128" s="8"/>
      <c r="Q128" s="8"/>
      <c r="R128" s="6" t="s">
        <v>228</v>
      </c>
      <c r="S128" s="27">
        <f>S127/S107</f>
        <v>0.20594275195263603</v>
      </c>
      <c r="T128" s="8"/>
      <c r="U128" s="8"/>
      <c r="V128" s="8"/>
      <c r="W128" s="8"/>
      <c r="X128" s="8"/>
    </row>
    <row r="129" spans="1:24" x14ac:dyDescent="0.3">
      <c r="A129" s="8"/>
      <c r="B129" s="8"/>
      <c r="C129" s="8"/>
      <c r="D129" s="8"/>
      <c r="E129" s="8"/>
      <c r="F129" s="8"/>
      <c r="G129" s="8"/>
      <c r="H129" s="8"/>
      <c r="I129" s="8"/>
      <c r="J129" s="8"/>
      <c r="K129" s="8"/>
      <c r="L129" s="8"/>
      <c r="M129" s="8"/>
      <c r="N129" s="8"/>
      <c r="O129" s="8"/>
      <c r="P129" s="8"/>
      <c r="Q129" s="8"/>
      <c r="R129" s="6" t="s">
        <v>229</v>
      </c>
      <c r="S129" s="55" t="str">
        <f>IF(AND(S127&gt;=S67,S127&lt;=S68),"PASS","CHECK")</f>
        <v>PASS</v>
      </c>
      <c r="T129" s="8"/>
      <c r="U129" s="8"/>
      <c r="V129" s="8"/>
      <c r="W129" s="8"/>
      <c r="X129" s="8"/>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BC508-8640-4A8D-B44E-1619DB509AD0}">
  <sheetPr>
    <tabColor theme="3" tint="0.89999084444715716"/>
  </sheetPr>
  <dimension ref="A1:P33"/>
  <sheetViews>
    <sheetView showGridLines="0" workbookViewId="0">
      <selection activeCell="J10" sqref="J10"/>
    </sheetView>
  </sheetViews>
  <sheetFormatPr defaultRowHeight="14.4" x14ac:dyDescent="0.3"/>
  <cols>
    <col min="1" max="1" width="32.77734375" customWidth="1"/>
    <col min="2" max="7" width="13.77734375" customWidth="1"/>
  </cols>
  <sheetData>
    <row r="1" spans="1:16" ht="21" x14ac:dyDescent="0.3">
      <c r="A1" s="72" t="s">
        <v>167</v>
      </c>
      <c r="B1" s="73"/>
      <c r="C1" s="73"/>
      <c r="D1" s="73"/>
      <c r="E1" s="73"/>
      <c r="F1" s="73"/>
      <c r="G1" s="73"/>
      <c r="H1" s="8"/>
      <c r="I1" s="8"/>
      <c r="J1" s="8"/>
      <c r="K1" s="8"/>
      <c r="L1" s="8"/>
      <c r="M1" s="8"/>
      <c r="N1" s="8"/>
      <c r="O1" s="8"/>
      <c r="P1" s="8"/>
    </row>
    <row r="2" spans="1:16" ht="40.799999999999997" x14ac:dyDescent="0.3">
      <c r="A2" s="8"/>
      <c r="B2" s="78" t="s">
        <v>169</v>
      </c>
      <c r="C2" s="88" t="s">
        <v>10</v>
      </c>
      <c r="D2" s="88" t="s">
        <v>11</v>
      </c>
      <c r="E2" s="88" t="s">
        <v>12</v>
      </c>
      <c r="F2" s="88" t="s">
        <v>13</v>
      </c>
      <c r="G2" s="88" t="s">
        <v>14</v>
      </c>
      <c r="H2" s="43"/>
      <c r="I2" s="43"/>
      <c r="J2" s="43"/>
      <c r="K2" s="43"/>
      <c r="L2" s="44"/>
      <c r="M2" s="43"/>
      <c r="N2" s="43"/>
      <c r="O2" s="43"/>
      <c r="P2" s="43"/>
    </row>
    <row r="3" spans="1:16" x14ac:dyDescent="0.3">
      <c r="A3" s="8"/>
      <c r="B3" s="8"/>
      <c r="C3" s="8"/>
      <c r="D3" s="8"/>
      <c r="E3" s="8"/>
      <c r="F3" s="8"/>
      <c r="G3" s="8"/>
      <c r="H3" s="8"/>
      <c r="I3" s="8"/>
      <c r="J3" s="8"/>
      <c r="K3" s="8"/>
      <c r="L3" s="8"/>
      <c r="M3" s="8"/>
      <c r="N3" s="8"/>
      <c r="O3" s="8"/>
      <c r="P3" s="8"/>
    </row>
    <row r="4" spans="1:16" x14ac:dyDescent="0.3">
      <c r="A4" s="74" t="s">
        <v>168</v>
      </c>
      <c r="B4" s="75"/>
      <c r="C4" s="75"/>
      <c r="D4" s="75"/>
      <c r="E4" s="75"/>
      <c r="F4" s="75"/>
      <c r="G4" s="75"/>
      <c r="H4" s="8"/>
      <c r="I4" s="8"/>
      <c r="J4" s="8"/>
      <c r="K4" s="46"/>
      <c r="L4" s="8"/>
      <c r="M4" s="8"/>
      <c r="N4" s="8"/>
      <c r="O4" s="8"/>
      <c r="P4" s="8"/>
    </row>
    <row r="5" spans="1:16" x14ac:dyDescent="0.3">
      <c r="A5" s="6" t="s">
        <v>37</v>
      </c>
      <c r="B5" s="11">
        <f>Operating_Drivers!K5</f>
        <v>10382</v>
      </c>
      <c r="C5" s="56">
        <f>Operating_Drivers!L5</f>
        <v>12612.733628318583</v>
      </c>
      <c r="D5" s="56">
        <f>Operating_Drivers!M5</f>
        <v>14154.696682577625</v>
      </c>
      <c r="E5" s="56">
        <f>Operating_Drivers!N5</f>
        <v>15514.363028441046</v>
      </c>
      <c r="F5" s="56">
        <f>Operating_Drivers!O5</f>
        <v>16598.208105444657</v>
      </c>
      <c r="G5" s="56">
        <f>Operating_Drivers!P5</f>
        <v>17322.950509708135</v>
      </c>
      <c r="H5" s="8"/>
      <c r="I5" s="8"/>
      <c r="J5" s="8"/>
      <c r="K5" s="8"/>
      <c r="L5" s="8"/>
      <c r="M5" s="8"/>
      <c r="N5" s="8"/>
      <c r="O5" s="8"/>
      <c r="P5" s="8"/>
    </row>
    <row r="6" spans="1:16" x14ac:dyDescent="0.3">
      <c r="A6" s="6" t="s">
        <v>38</v>
      </c>
      <c r="B6" s="11">
        <f>Operating_Drivers!K8</f>
        <v>4772</v>
      </c>
      <c r="C6" s="56">
        <f>Operating_Drivers!L8</f>
        <v>5255.6288387900104</v>
      </c>
      <c r="D6" s="56">
        <f>Operating_Drivers!M8</f>
        <v>5717.2943320168451</v>
      </c>
      <c r="E6" s="56">
        <f>Operating_Drivers!N8</f>
        <v>6222.3860096693934</v>
      </c>
      <c r="F6" s="56">
        <f>Operating_Drivers!O8</f>
        <v>6775.226061346003</v>
      </c>
      <c r="G6" s="56">
        <f>Operating_Drivers!P8</f>
        <v>7380.5883169202334</v>
      </c>
      <c r="H6" s="8"/>
      <c r="I6" s="8"/>
      <c r="J6" s="8"/>
      <c r="K6" s="8"/>
      <c r="L6" s="8"/>
      <c r="M6" s="8"/>
      <c r="N6" s="8"/>
      <c r="O6" s="8"/>
      <c r="P6" s="8"/>
    </row>
    <row r="7" spans="1:16" x14ac:dyDescent="0.3">
      <c r="A7" s="6" t="s">
        <v>39</v>
      </c>
      <c r="B7" s="11">
        <f>Operating_Drivers!K11</f>
        <v>4892</v>
      </c>
      <c r="C7" s="56">
        <f>Operating_Drivers!L11</f>
        <v>5804.1843677008874</v>
      </c>
      <c r="D7" s="56">
        <f>Operating_Drivers!M11</f>
        <v>6441.0196616312078</v>
      </c>
      <c r="E7" s="56">
        <f>Operating_Drivers!N11</f>
        <v>7063.0183401494169</v>
      </c>
      <c r="F7" s="56">
        <f>Operating_Drivers!O11</f>
        <v>7652.1918790634545</v>
      </c>
      <c r="G7" s="56">
        <f>Operating_Drivers!P11</f>
        <v>8189.8731695426331</v>
      </c>
      <c r="H7" s="8"/>
      <c r="I7" s="8"/>
      <c r="J7" s="8"/>
      <c r="K7" s="8"/>
      <c r="L7" s="8"/>
      <c r="M7" s="8"/>
      <c r="N7" s="8"/>
      <c r="O7" s="8"/>
      <c r="P7" s="8"/>
    </row>
    <row r="8" spans="1:16" x14ac:dyDescent="0.3">
      <c r="A8" s="6" t="s">
        <v>92</v>
      </c>
      <c r="B8" s="11">
        <f>Operating_Drivers!K14</f>
        <v>13</v>
      </c>
      <c r="C8" s="56">
        <f>Operating_Drivers!L14</f>
        <v>12</v>
      </c>
      <c r="D8" s="56">
        <f>Operating_Drivers!M14</f>
        <v>12</v>
      </c>
      <c r="E8" s="56">
        <f>Operating_Drivers!N14</f>
        <v>12</v>
      </c>
      <c r="F8" s="56">
        <f>Operating_Drivers!O14</f>
        <v>12</v>
      </c>
      <c r="G8" s="56">
        <f>Operating_Drivers!P14</f>
        <v>12</v>
      </c>
      <c r="H8" s="8"/>
      <c r="I8" s="8"/>
      <c r="J8" s="8"/>
      <c r="K8" s="8"/>
      <c r="L8" s="8"/>
      <c r="M8" s="8"/>
      <c r="N8" s="8"/>
      <c r="O8" s="8"/>
      <c r="P8" s="8"/>
    </row>
    <row r="9" spans="1:16" x14ac:dyDescent="0.3">
      <c r="A9" s="89" t="s">
        <v>41</v>
      </c>
      <c r="B9" s="90">
        <f>Operating_Drivers!K17</f>
        <v>20059</v>
      </c>
      <c r="C9" s="91">
        <f>Operating_Drivers!L17</f>
        <v>23684.54683480948</v>
      </c>
      <c r="D9" s="91">
        <f>Operating_Drivers!M17</f>
        <v>26325.010676225676</v>
      </c>
      <c r="E9" s="91">
        <f>Operating_Drivers!N17</f>
        <v>28811.767378259858</v>
      </c>
      <c r="F9" s="91">
        <f>Operating_Drivers!O17</f>
        <v>31037.626045854115</v>
      </c>
      <c r="G9" s="91">
        <f>Operating_Drivers!P17</f>
        <v>32905.411996171002</v>
      </c>
      <c r="H9" s="8"/>
      <c r="I9" s="8"/>
      <c r="J9" s="8"/>
      <c r="K9" s="8"/>
      <c r="L9" s="8"/>
      <c r="M9" s="8"/>
      <c r="N9" s="8"/>
      <c r="O9" s="8"/>
      <c r="P9" s="8"/>
    </row>
    <row r="10" spans="1:16" x14ac:dyDescent="0.3">
      <c r="A10" s="6" t="s">
        <v>100</v>
      </c>
      <c r="B10" s="8"/>
      <c r="C10" s="57">
        <f>C9/B9-1</f>
        <v>0.18074414650827464</v>
      </c>
      <c r="D10" s="57">
        <f t="shared" ref="D10:G10" si="0">D9/C9-1</f>
        <v>0.11148466803407331</v>
      </c>
      <c r="E10" s="57">
        <f t="shared" si="0"/>
        <v>9.4463654074791625E-2</v>
      </c>
      <c r="F10" s="57">
        <f t="shared" si="0"/>
        <v>7.7255193628759988E-2</v>
      </c>
      <c r="G10" s="57">
        <f t="shared" si="0"/>
        <v>6.0178118892130206E-2</v>
      </c>
      <c r="H10" s="8"/>
      <c r="I10" s="8"/>
      <c r="J10" s="8"/>
      <c r="K10" s="8"/>
      <c r="L10" s="8"/>
      <c r="M10" s="8"/>
      <c r="N10" s="8"/>
      <c r="O10" s="8"/>
      <c r="P10" s="8"/>
    </row>
    <row r="11" spans="1:16" x14ac:dyDescent="0.3">
      <c r="A11" s="8"/>
      <c r="B11" s="8"/>
      <c r="C11" s="58"/>
      <c r="D11" s="58"/>
      <c r="E11" s="58"/>
      <c r="F11" s="58"/>
      <c r="G11" s="58"/>
      <c r="H11" s="8"/>
      <c r="I11" s="8"/>
      <c r="J11" s="8"/>
      <c r="K11" s="8"/>
      <c r="L11" s="8"/>
      <c r="M11" s="8"/>
      <c r="N11" s="8"/>
      <c r="O11" s="8"/>
      <c r="P11" s="8"/>
    </row>
    <row r="12" spans="1:16" x14ac:dyDescent="0.3">
      <c r="A12" s="74" t="s">
        <v>170</v>
      </c>
      <c r="B12" s="75"/>
      <c r="C12" s="75"/>
      <c r="D12" s="75"/>
      <c r="E12" s="75"/>
      <c r="F12" s="75"/>
      <c r="G12" s="75"/>
      <c r="H12" s="8"/>
      <c r="I12" s="8"/>
      <c r="J12" s="8"/>
      <c r="K12" s="8"/>
      <c r="L12" s="8"/>
      <c r="M12" s="8"/>
      <c r="N12" s="8"/>
      <c r="O12" s="8"/>
      <c r="P12" s="8"/>
    </row>
    <row r="13" spans="1:16" x14ac:dyDescent="0.3">
      <c r="A13" s="6" t="s">
        <v>43</v>
      </c>
      <c r="B13" s="11">
        <f>Operating_Drivers!K28</f>
        <v>2130</v>
      </c>
      <c r="C13" s="56">
        <f>Operating_Drivers!L28</f>
        <v>2980.8813982300885</v>
      </c>
      <c r="D13" s="56">
        <f>Operating_Drivers!M28</f>
        <v>3114.0332701670777</v>
      </c>
      <c r="E13" s="56">
        <f>Operating_Drivers!N28</f>
        <v>3413.1598662570304</v>
      </c>
      <c r="F13" s="56">
        <f>Operating_Drivers!O28</f>
        <v>3651.6057831978246</v>
      </c>
      <c r="G13" s="56">
        <f>Operating_Drivers!P28</f>
        <v>3811.0491121357895</v>
      </c>
      <c r="H13" s="8"/>
      <c r="I13" s="8"/>
      <c r="J13" s="8"/>
      <c r="K13" s="8"/>
      <c r="L13" s="8"/>
      <c r="M13" s="8"/>
      <c r="N13" s="8"/>
      <c r="O13" s="8"/>
      <c r="P13" s="8"/>
    </row>
    <row r="14" spans="1:16" x14ac:dyDescent="0.3">
      <c r="A14" s="6" t="s">
        <v>45</v>
      </c>
      <c r="B14" s="11">
        <f>Operating_Drivers!K29</f>
        <v>689</v>
      </c>
      <c r="C14" s="56">
        <f>Operating_Drivers!L29</f>
        <v>937.74432581850169</v>
      </c>
      <c r="D14" s="56">
        <f>Operating_Drivers!M29</f>
        <v>857.59414980252689</v>
      </c>
      <c r="E14" s="56">
        <f>Operating_Drivers!N29</f>
        <v>933.35790145040914</v>
      </c>
      <c r="F14" s="56">
        <f>Operating_Drivers!O29</f>
        <v>1016.2839092019007</v>
      </c>
      <c r="G14" s="56">
        <f>Operating_Drivers!P29</f>
        <v>1107.0882475380351</v>
      </c>
      <c r="H14" s="8"/>
      <c r="I14" s="8"/>
      <c r="J14" s="8"/>
      <c r="K14" s="8"/>
      <c r="L14" s="8"/>
      <c r="M14" s="8"/>
      <c r="N14" s="8"/>
      <c r="O14" s="8"/>
      <c r="P14" s="8"/>
    </row>
    <row r="15" spans="1:16" x14ac:dyDescent="0.3">
      <c r="A15" s="6" t="s">
        <v>47</v>
      </c>
      <c r="B15" s="11">
        <f>Operating_Drivers!K30</f>
        <v>852</v>
      </c>
      <c r="C15" s="56">
        <f>Operating_Drivers!L30</f>
        <v>1136.0350298631688</v>
      </c>
      <c r="D15" s="56">
        <f>Operating_Drivers!M30</f>
        <v>1223.7937357099295</v>
      </c>
      <c r="E15" s="56">
        <f>Operating_Drivers!N30</f>
        <v>1341.9734846283893</v>
      </c>
      <c r="F15" s="56">
        <f>Operating_Drivers!O30</f>
        <v>1453.9164570220564</v>
      </c>
      <c r="G15" s="56">
        <f>Operating_Drivers!P30</f>
        <v>1556.0759022131003</v>
      </c>
      <c r="H15" s="8"/>
      <c r="I15" s="8"/>
      <c r="J15" s="8"/>
      <c r="K15" s="8"/>
      <c r="L15" s="8"/>
      <c r="M15" s="8"/>
      <c r="N15" s="8"/>
      <c r="O15" s="8"/>
      <c r="P15" s="8"/>
    </row>
    <row r="16" spans="1:16" x14ac:dyDescent="0.3">
      <c r="A16" s="6" t="s">
        <v>93</v>
      </c>
      <c r="B16" s="11">
        <f>Operating_Drivers!K31</f>
        <v>-209</v>
      </c>
      <c r="C16" s="56">
        <f>Operating_Drivers!L31</f>
        <v>-177</v>
      </c>
      <c r="D16" s="56">
        <f>Operating_Drivers!M31</f>
        <v>-177</v>
      </c>
      <c r="E16" s="56">
        <f>Operating_Drivers!N31</f>
        <v>-177</v>
      </c>
      <c r="F16" s="56">
        <f>Operating_Drivers!O31</f>
        <v>-177</v>
      </c>
      <c r="G16" s="56">
        <f>Operating_Drivers!P31</f>
        <v>-177</v>
      </c>
      <c r="H16" s="8"/>
      <c r="I16" s="8"/>
      <c r="J16" s="8"/>
      <c r="K16" s="8"/>
      <c r="L16" s="8"/>
      <c r="M16" s="8"/>
      <c r="N16" s="8"/>
      <c r="O16" s="8"/>
      <c r="P16" s="8"/>
    </row>
    <row r="17" spans="1:16" x14ac:dyDescent="0.3">
      <c r="A17" s="89" t="s">
        <v>173</v>
      </c>
      <c r="B17" s="90">
        <f>Operating_Drivers!K32</f>
        <v>3462</v>
      </c>
      <c r="C17" s="91">
        <f>Operating_Drivers!L32</f>
        <v>4877.6607539117595</v>
      </c>
      <c r="D17" s="91">
        <f>Operating_Drivers!M32</f>
        <v>5018.4211556795344</v>
      </c>
      <c r="E17" s="91">
        <f>Operating_Drivers!N32</f>
        <v>5511.4912523358289</v>
      </c>
      <c r="F17" s="91">
        <f>Operating_Drivers!O32</f>
        <v>5944.8061494217818</v>
      </c>
      <c r="G17" s="91">
        <f>Operating_Drivers!P32</f>
        <v>6297.2132618869255</v>
      </c>
      <c r="H17" s="8"/>
      <c r="I17" s="8"/>
      <c r="J17" s="8"/>
      <c r="K17" s="8"/>
      <c r="L17" s="8"/>
      <c r="M17" s="8"/>
      <c r="N17" s="8"/>
      <c r="O17" s="8"/>
      <c r="P17" s="8"/>
    </row>
    <row r="18" spans="1:16" x14ac:dyDescent="0.3">
      <c r="A18" s="6" t="s">
        <v>174</v>
      </c>
      <c r="B18" s="13">
        <f>Operating_Drivers!K33</f>
        <v>0.1725908569719328</v>
      </c>
      <c r="C18" s="59">
        <f>Operating_Drivers!L33</f>
        <v>0.20594275195263603</v>
      </c>
      <c r="D18" s="59">
        <f>Operating_Drivers!M33</f>
        <v>0.19063320495484964</v>
      </c>
      <c r="E18" s="59">
        <f>Operating_Drivers!N33</f>
        <v>0.19129306369780588</v>
      </c>
      <c r="F18" s="59">
        <f>Operating_Drivers!O33</f>
        <v>0.1915354653941346</v>
      </c>
      <c r="G18" s="59">
        <f>Operating_Drivers!P33</f>
        <v>0.19137317784137434</v>
      </c>
      <c r="H18" s="8"/>
      <c r="I18" s="8"/>
      <c r="J18" s="8"/>
      <c r="K18" s="8"/>
      <c r="L18" s="8"/>
      <c r="M18" s="8"/>
      <c r="N18" s="8"/>
      <c r="O18" s="8"/>
      <c r="P18" s="8"/>
    </row>
    <row r="19" spans="1:16" x14ac:dyDescent="0.3">
      <c r="A19" s="8"/>
      <c r="B19" s="8"/>
      <c r="C19" s="58"/>
      <c r="D19" s="58"/>
      <c r="E19" s="58"/>
      <c r="F19" s="58"/>
      <c r="G19" s="58"/>
      <c r="H19" s="8"/>
      <c r="I19" s="8"/>
      <c r="J19" s="8"/>
      <c r="K19" s="8"/>
      <c r="L19" s="8"/>
      <c r="M19" s="8"/>
      <c r="N19" s="8"/>
      <c r="O19" s="8"/>
      <c r="P19" s="8"/>
    </row>
    <row r="20" spans="1:16" x14ac:dyDescent="0.3">
      <c r="A20" s="74" t="s">
        <v>175</v>
      </c>
      <c r="B20" s="75"/>
      <c r="C20" s="75"/>
      <c r="D20" s="75"/>
      <c r="E20" s="75"/>
      <c r="F20" s="75"/>
      <c r="G20" s="75"/>
      <c r="H20" s="8"/>
      <c r="I20" s="8"/>
      <c r="J20" s="8"/>
      <c r="K20" s="8"/>
      <c r="L20" s="8"/>
      <c r="M20" s="8"/>
      <c r="N20" s="8"/>
      <c r="O20" s="8"/>
      <c r="P20" s="8"/>
    </row>
    <row r="21" spans="1:16" x14ac:dyDescent="0.3">
      <c r="A21" s="6" t="s">
        <v>172</v>
      </c>
      <c r="B21" s="45">
        <f>B17</f>
        <v>3462</v>
      </c>
      <c r="C21" s="60">
        <f>C17</f>
        <v>4877.6607539117595</v>
      </c>
      <c r="D21" s="60">
        <f t="shared" ref="D21:G21" si="1">D17</f>
        <v>5018.4211556795344</v>
      </c>
      <c r="E21" s="60">
        <f t="shared" si="1"/>
        <v>5511.4912523358289</v>
      </c>
      <c r="F21" s="60">
        <f t="shared" si="1"/>
        <v>5944.8061494217818</v>
      </c>
      <c r="G21" s="60">
        <f t="shared" si="1"/>
        <v>6297.2132618869255</v>
      </c>
      <c r="H21" s="8"/>
      <c r="I21" s="8"/>
      <c r="J21" s="8"/>
      <c r="K21" s="8"/>
      <c r="L21" s="8"/>
      <c r="M21" s="8"/>
      <c r="N21" s="8"/>
      <c r="O21" s="8"/>
      <c r="P21" s="8"/>
    </row>
    <row r="22" spans="1:16" x14ac:dyDescent="0.3">
      <c r="A22" s="6" t="s">
        <v>176</v>
      </c>
      <c r="B22" s="46"/>
      <c r="C22" s="59">
        <f>Operating_Drivers!L46</f>
        <v>0.25</v>
      </c>
      <c r="D22" s="59">
        <f>Operating_Drivers!M46</f>
        <v>0.25</v>
      </c>
      <c r="E22" s="59">
        <f>Operating_Drivers!N46</f>
        <v>0.25</v>
      </c>
      <c r="F22" s="59">
        <f>Operating_Drivers!O46</f>
        <v>0.25</v>
      </c>
      <c r="G22" s="59">
        <f>Operating_Drivers!P46</f>
        <v>0.25</v>
      </c>
      <c r="H22" s="8"/>
      <c r="I22" s="8"/>
      <c r="J22" s="8"/>
      <c r="K22" s="8"/>
      <c r="L22" s="8"/>
      <c r="M22" s="8"/>
      <c r="N22" s="8"/>
      <c r="O22" s="8"/>
      <c r="P22" s="8"/>
    </row>
    <row r="23" spans="1:16" x14ac:dyDescent="0.3">
      <c r="A23" s="6" t="s">
        <v>164</v>
      </c>
      <c r="B23" s="8"/>
      <c r="C23" s="56">
        <f>Operating_Drivers!L48</f>
        <v>-1219.4151884779399</v>
      </c>
      <c r="D23" s="56">
        <f>Operating_Drivers!M48</f>
        <v>-1254.6052889198836</v>
      </c>
      <c r="E23" s="56">
        <f>Operating_Drivers!N48</f>
        <v>-1377.8728130839572</v>
      </c>
      <c r="F23" s="56">
        <f>Operating_Drivers!O48</f>
        <v>-1486.2015373554455</v>
      </c>
      <c r="G23" s="56">
        <f>Operating_Drivers!P48</f>
        <v>-1574.3033154717314</v>
      </c>
      <c r="H23" s="8"/>
      <c r="I23" s="8"/>
      <c r="J23" s="8"/>
      <c r="K23" s="8"/>
      <c r="L23" s="8"/>
      <c r="M23" s="8"/>
      <c r="N23" s="8"/>
      <c r="O23" s="8"/>
      <c r="P23" s="8"/>
    </row>
    <row r="24" spans="1:16" x14ac:dyDescent="0.3">
      <c r="A24" s="6" t="s">
        <v>165</v>
      </c>
      <c r="B24" s="8"/>
      <c r="C24" s="56">
        <f>Operating_Drivers!L49</f>
        <v>3658.2455654338196</v>
      </c>
      <c r="D24" s="56">
        <f>Operating_Drivers!M49</f>
        <v>3763.8158667596508</v>
      </c>
      <c r="E24" s="56">
        <f>Operating_Drivers!N49</f>
        <v>4133.6184392518717</v>
      </c>
      <c r="F24" s="56">
        <f>Operating_Drivers!O49</f>
        <v>4458.6046120663359</v>
      </c>
      <c r="G24" s="56">
        <f>Operating_Drivers!P49</f>
        <v>4722.9099464151941</v>
      </c>
      <c r="H24" s="8"/>
      <c r="I24" s="8"/>
      <c r="J24" s="8"/>
      <c r="K24" s="8"/>
      <c r="L24" s="8"/>
      <c r="M24" s="8"/>
      <c r="N24" s="8"/>
      <c r="O24" s="8"/>
      <c r="P24" s="8"/>
    </row>
    <row r="25" spans="1:16" x14ac:dyDescent="0.3">
      <c r="A25" s="6" t="s">
        <v>166</v>
      </c>
      <c r="B25" s="8"/>
      <c r="C25" s="56">
        <f>Operating_Drivers!L37</f>
        <v>1131.9429880150428</v>
      </c>
      <c r="D25" s="56">
        <f>Operating_Drivers!M37</f>
        <v>1258.1372762673971</v>
      </c>
      <c r="E25" s="56">
        <f>Operating_Drivers!N37</f>
        <v>1376.985520711321</v>
      </c>
      <c r="F25" s="56">
        <f>Operating_Drivers!O37</f>
        <v>1483.3648037378732</v>
      </c>
      <c r="G25" s="56">
        <f>Operating_Drivers!P37</f>
        <v>1572.6309072576123</v>
      </c>
      <c r="H25" s="8"/>
      <c r="I25" s="8"/>
      <c r="J25" s="8"/>
      <c r="K25" s="8"/>
      <c r="L25" s="8"/>
      <c r="M25" s="8"/>
      <c r="N25" s="8"/>
      <c r="O25" s="8"/>
      <c r="P25" s="8"/>
    </row>
    <row r="26" spans="1:16" x14ac:dyDescent="0.3">
      <c r="A26" s="6" t="s">
        <v>28</v>
      </c>
      <c r="B26" s="8"/>
      <c r="C26" s="56">
        <f>Operating_Drivers!L40</f>
        <v>-1154.7677752850925</v>
      </c>
      <c r="D26" s="56">
        <f>Operating_Drivers!M40</f>
        <v>-1283.5066773691965</v>
      </c>
      <c r="E26" s="56">
        <f>Operating_Drivers!N40</f>
        <v>-1404.7514081428856</v>
      </c>
      <c r="F26" s="56">
        <f>Operating_Drivers!O40</f>
        <v>-1513.2757501792375</v>
      </c>
      <c r="G26" s="56">
        <f>Operating_Drivers!P40</f>
        <v>-1604.3418381901013</v>
      </c>
      <c r="H26" s="8"/>
      <c r="I26" s="8"/>
      <c r="J26" s="8"/>
      <c r="K26" s="8"/>
      <c r="L26" s="8"/>
      <c r="M26" s="8"/>
      <c r="N26" s="8"/>
      <c r="O26" s="8"/>
      <c r="P26" s="8"/>
    </row>
    <row r="27" spans="1:16" x14ac:dyDescent="0.3">
      <c r="A27" s="6" t="s">
        <v>84</v>
      </c>
      <c r="B27" s="8"/>
      <c r="C27" s="56">
        <f>Operating_Drivers!L43</f>
        <v>371.56393510458622</v>
      </c>
      <c r="D27" s="56">
        <f>Operating_Drivers!M43</f>
        <v>412.98761706315497</v>
      </c>
      <c r="E27" s="56">
        <f>Operating_Drivers!N43</f>
        <v>451.99993645858137</v>
      </c>
      <c r="F27" s="56">
        <f>Operating_Drivers!O43</f>
        <v>486.91927906987632</v>
      </c>
      <c r="G27" s="56">
        <f>Operating_Drivers!P43</f>
        <v>516.22116533661369</v>
      </c>
      <c r="H27" s="8"/>
      <c r="I27" s="8"/>
      <c r="J27" s="8"/>
      <c r="K27" s="8"/>
      <c r="L27" s="8"/>
      <c r="M27" s="8"/>
      <c r="N27" s="8"/>
      <c r="O27" s="8"/>
      <c r="P27" s="8"/>
    </row>
    <row r="28" spans="1:16" x14ac:dyDescent="0.3">
      <c r="A28" s="89" t="s">
        <v>30</v>
      </c>
      <c r="B28" s="92"/>
      <c r="C28" s="91">
        <f>Operating_Drivers!L51</f>
        <v>4006.9847132683567</v>
      </c>
      <c r="D28" s="91">
        <f>Operating_Drivers!M51</f>
        <v>4151.4340827210062</v>
      </c>
      <c r="E28" s="91">
        <f>Operating_Drivers!N51</f>
        <v>4557.8524882788888</v>
      </c>
      <c r="F28" s="91">
        <f>Operating_Drivers!O51</f>
        <v>4915.612944694848</v>
      </c>
      <c r="G28" s="91">
        <f>Operating_Drivers!P51</f>
        <v>5207.4201808193193</v>
      </c>
      <c r="H28" s="8"/>
      <c r="I28" s="8"/>
      <c r="J28" s="8"/>
      <c r="K28" s="8"/>
      <c r="L28" s="8"/>
      <c r="M28" s="8"/>
      <c r="N28" s="8"/>
      <c r="O28" s="8"/>
      <c r="P28" s="8"/>
    </row>
    <row r="29" spans="1:16" x14ac:dyDescent="0.3">
      <c r="A29" s="6" t="s">
        <v>177</v>
      </c>
      <c r="B29" s="8"/>
      <c r="C29" s="57">
        <f>IFERROR(C28/C9,"")</f>
        <v>0.16918139668094642</v>
      </c>
      <c r="D29" s="57">
        <f t="shared" ref="D29:G29" si="2">IFERROR(D28/D9,"")</f>
        <v>0.15769923643260661</v>
      </c>
      <c r="E29" s="57">
        <f t="shared" si="2"/>
        <v>0.15819413048982381</v>
      </c>
      <c r="F29" s="57">
        <f t="shared" si="2"/>
        <v>0.15837593176207032</v>
      </c>
      <c r="G29" s="57">
        <f t="shared" si="2"/>
        <v>0.15825421609750015</v>
      </c>
      <c r="H29" s="8"/>
      <c r="I29" s="8"/>
      <c r="J29" s="8"/>
      <c r="K29" s="8"/>
      <c r="L29" s="8"/>
      <c r="M29" s="8"/>
      <c r="N29" s="8"/>
      <c r="O29" s="8"/>
      <c r="P29" s="8"/>
    </row>
    <row r="30" spans="1:16" x14ac:dyDescent="0.3">
      <c r="A30" s="8"/>
      <c r="B30" s="8"/>
      <c r="C30" s="58"/>
      <c r="D30" s="58"/>
      <c r="E30" s="58"/>
      <c r="F30" s="58"/>
      <c r="G30" s="58"/>
      <c r="H30" s="8"/>
      <c r="I30" s="8"/>
      <c r="J30" s="8"/>
      <c r="K30" s="8"/>
      <c r="L30" s="8"/>
      <c r="M30" s="8"/>
      <c r="N30" s="8"/>
      <c r="O30" s="8"/>
      <c r="P30" s="8"/>
    </row>
    <row r="31" spans="1:16" x14ac:dyDescent="0.3">
      <c r="A31" s="74" t="s">
        <v>178</v>
      </c>
      <c r="B31" s="75"/>
      <c r="C31" s="75"/>
      <c r="D31" s="75"/>
      <c r="E31" s="75"/>
      <c r="F31" s="75"/>
      <c r="G31" s="75"/>
      <c r="H31" s="8"/>
      <c r="I31" s="8"/>
      <c r="J31" s="8"/>
      <c r="K31" s="8"/>
      <c r="L31" s="8"/>
      <c r="M31" s="8"/>
      <c r="N31" s="8"/>
      <c r="O31" s="8"/>
      <c r="P31" s="8"/>
    </row>
    <row r="32" spans="1:16" x14ac:dyDescent="0.3">
      <c r="A32" s="6" t="s">
        <v>179</v>
      </c>
      <c r="B32" s="8"/>
      <c r="C32" s="60">
        <f>C9-SUM(C5:C8)</f>
        <v>0</v>
      </c>
      <c r="D32" s="60">
        <f t="shared" ref="D32:G32" si="3">D9-SUM(D5:D8)</f>
        <v>0</v>
      </c>
      <c r="E32" s="60">
        <f t="shared" si="3"/>
        <v>0</v>
      </c>
      <c r="F32" s="60">
        <f t="shared" si="3"/>
        <v>0</v>
      </c>
      <c r="G32" s="60">
        <f t="shared" si="3"/>
        <v>0</v>
      </c>
      <c r="H32" s="8"/>
      <c r="I32" s="8"/>
      <c r="J32" s="8"/>
      <c r="K32" s="8"/>
      <c r="L32" s="8"/>
      <c r="M32" s="8"/>
      <c r="N32" s="8"/>
      <c r="O32" s="8"/>
      <c r="P32" s="8"/>
    </row>
    <row r="33" spans="1:16" x14ac:dyDescent="0.3">
      <c r="A33" s="6" t="s">
        <v>180</v>
      </c>
      <c r="B33" s="8"/>
      <c r="C33" s="60">
        <f>C17-SUM(C13:C16)</f>
        <v>0</v>
      </c>
      <c r="D33" s="60">
        <f t="shared" ref="D33:G33" si="4">D17-SUM(D13:D16)</f>
        <v>0</v>
      </c>
      <c r="E33" s="60">
        <f t="shared" si="4"/>
        <v>0</v>
      </c>
      <c r="F33" s="60">
        <f t="shared" si="4"/>
        <v>0</v>
      </c>
      <c r="G33" s="60">
        <f t="shared" si="4"/>
        <v>0</v>
      </c>
      <c r="H33" s="8"/>
      <c r="I33" s="8"/>
      <c r="J33" s="8"/>
      <c r="K33" s="8"/>
      <c r="L33" s="8"/>
      <c r="M33" s="8"/>
      <c r="N33" s="8"/>
      <c r="O33" s="8"/>
      <c r="P33" s="8"/>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DE12-CE69-4F0E-869C-AAA235A97746}">
  <sheetPr>
    <tabColor theme="4" tint="-0.499984740745262"/>
  </sheetPr>
  <dimension ref="A1:F76"/>
  <sheetViews>
    <sheetView showGridLines="0" topLeftCell="A57" workbookViewId="0">
      <selection activeCell="B76" sqref="B76"/>
    </sheetView>
  </sheetViews>
  <sheetFormatPr defaultRowHeight="14.4" x14ac:dyDescent="0.3"/>
  <cols>
    <col min="1" max="1" width="36.77734375" customWidth="1"/>
    <col min="2" max="6" width="16.77734375" customWidth="1"/>
  </cols>
  <sheetData>
    <row r="1" spans="1:6" ht="21" x14ac:dyDescent="0.3">
      <c r="A1" s="72" t="s">
        <v>231</v>
      </c>
      <c r="B1" s="73"/>
      <c r="C1" s="73"/>
      <c r="D1" s="73"/>
      <c r="E1" s="73"/>
      <c r="F1" s="73"/>
    </row>
    <row r="2" spans="1:6" x14ac:dyDescent="0.3">
      <c r="A2" s="8"/>
      <c r="B2" s="8"/>
      <c r="C2" s="8"/>
      <c r="D2" s="8"/>
      <c r="E2" s="8"/>
      <c r="F2" s="8"/>
    </row>
    <row r="3" spans="1:6" x14ac:dyDescent="0.3">
      <c r="A3" s="74" t="s">
        <v>232</v>
      </c>
      <c r="B3" s="75"/>
      <c r="C3" s="75"/>
      <c r="D3" s="75"/>
      <c r="E3" s="75"/>
      <c r="F3" s="75"/>
    </row>
    <row r="4" spans="1:6" x14ac:dyDescent="0.3">
      <c r="A4" s="6" t="s">
        <v>233</v>
      </c>
      <c r="B4" s="62">
        <v>46203</v>
      </c>
      <c r="C4" s="8"/>
      <c r="D4" s="8"/>
      <c r="E4" s="8"/>
      <c r="F4" s="8"/>
    </row>
    <row r="5" spans="1:6" x14ac:dyDescent="0.3">
      <c r="A5" s="6" t="s">
        <v>234</v>
      </c>
      <c r="B5" s="6" t="s">
        <v>235</v>
      </c>
      <c r="C5" s="8"/>
      <c r="D5" s="8"/>
      <c r="E5" s="8"/>
      <c r="F5" s="8"/>
    </row>
    <row r="6" spans="1:6" x14ac:dyDescent="0.3">
      <c r="A6" s="8"/>
      <c r="B6" s="8"/>
      <c r="C6" s="8"/>
      <c r="D6" s="8"/>
      <c r="E6" s="8"/>
      <c r="F6" s="8"/>
    </row>
    <row r="7" spans="1:6" x14ac:dyDescent="0.3">
      <c r="A7" s="6" t="s">
        <v>236</v>
      </c>
      <c r="B7" s="8"/>
      <c r="C7" s="8"/>
      <c r="D7" s="8"/>
      <c r="E7" s="8"/>
      <c r="F7" s="8"/>
    </row>
    <row r="8" spans="1:6" x14ac:dyDescent="0.3">
      <c r="A8" s="6" t="s">
        <v>237</v>
      </c>
      <c r="B8" s="98">
        <f>4.83%</f>
        <v>4.8300000000000003E-2</v>
      </c>
      <c r="C8" s="8"/>
      <c r="D8" s="8"/>
      <c r="E8" s="8"/>
      <c r="F8" s="8"/>
    </row>
    <row r="9" spans="1:6" x14ac:dyDescent="0.3">
      <c r="A9" s="6" t="s">
        <v>238</v>
      </c>
      <c r="B9" s="100">
        <f>1.2</f>
        <v>1.2</v>
      </c>
      <c r="C9" s="8"/>
      <c r="D9" s="8"/>
      <c r="E9" s="8"/>
      <c r="F9" s="8"/>
    </row>
    <row r="10" spans="1:6" x14ac:dyDescent="0.3">
      <c r="A10" s="6" t="s">
        <v>239</v>
      </c>
      <c r="B10" s="98">
        <f>4.17%</f>
        <v>4.1700000000000001E-2</v>
      </c>
      <c r="C10" s="8"/>
      <c r="D10" s="8"/>
      <c r="E10" s="8"/>
      <c r="F10" s="8"/>
    </row>
    <row r="11" spans="1:6" x14ac:dyDescent="0.3">
      <c r="A11" s="6" t="s">
        <v>240</v>
      </c>
      <c r="B11" s="99">
        <f>B8+B9*B10</f>
        <v>9.8340000000000011E-2</v>
      </c>
      <c r="C11" s="8"/>
      <c r="D11" s="8"/>
      <c r="E11" s="8"/>
      <c r="F11" s="8"/>
    </row>
    <row r="12" spans="1:6" x14ac:dyDescent="0.3">
      <c r="A12" s="8"/>
      <c r="B12" s="8"/>
      <c r="C12" s="8"/>
      <c r="D12" s="8"/>
      <c r="E12" s="8"/>
      <c r="F12" s="8"/>
    </row>
    <row r="13" spans="1:6" x14ac:dyDescent="0.3">
      <c r="A13" s="6" t="s">
        <v>241</v>
      </c>
      <c r="B13" s="54">
        <f>103</f>
        <v>103</v>
      </c>
      <c r="C13" s="8"/>
      <c r="D13" s="8"/>
      <c r="E13" s="8"/>
      <c r="F13" s="8"/>
    </row>
    <row r="14" spans="1:6" x14ac:dyDescent="0.3">
      <c r="A14" s="6" t="s">
        <v>242</v>
      </c>
      <c r="B14" s="54">
        <f>4272</f>
        <v>4272</v>
      </c>
      <c r="C14" s="8"/>
      <c r="D14" s="8"/>
      <c r="E14" s="8"/>
      <c r="F14" s="8"/>
    </row>
    <row r="15" spans="1:6" x14ac:dyDescent="0.3">
      <c r="A15" s="6" t="s">
        <v>243</v>
      </c>
      <c r="B15" s="54">
        <f>4311</f>
        <v>4311</v>
      </c>
      <c r="C15" s="8"/>
      <c r="D15" s="8"/>
      <c r="E15" s="8"/>
      <c r="F15" s="8"/>
    </row>
    <row r="16" spans="1:6" x14ac:dyDescent="0.3">
      <c r="A16" s="6" t="s">
        <v>244</v>
      </c>
      <c r="B16" s="99">
        <f>(B13*2)/AVERAGE(B14:B15)</f>
        <v>4.8001864150064077E-2</v>
      </c>
      <c r="C16" s="8"/>
      <c r="D16" s="8"/>
      <c r="E16" s="8"/>
      <c r="F16" s="8"/>
    </row>
    <row r="17" spans="1:6" x14ac:dyDescent="0.3">
      <c r="A17" s="6" t="s">
        <v>245</v>
      </c>
      <c r="B17" s="99">
        <f>Operating_Drivers!L46</f>
        <v>0.25</v>
      </c>
      <c r="C17" s="8"/>
      <c r="D17" s="8"/>
      <c r="E17" s="8"/>
      <c r="F17" s="8"/>
    </row>
    <row r="18" spans="1:6" x14ac:dyDescent="0.3">
      <c r="A18" s="6" t="s">
        <v>246</v>
      </c>
      <c r="B18" s="99">
        <f>B16*(1-B17)</f>
        <v>3.6001398112548058E-2</v>
      </c>
      <c r="C18" s="8"/>
      <c r="D18" s="8"/>
      <c r="E18" s="8"/>
      <c r="F18" s="8"/>
    </row>
    <row r="19" spans="1:6" x14ac:dyDescent="0.3">
      <c r="A19" s="8"/>
      <c r="B19" s="8"/>
      <c r="C19" s="8"/>
      <c r="D19" s="8"/>
      <c r="E19" s="8"/>
      <c r="F19" s="8"/>
    </row>
    <row r="20" spans="1:6" x14ac:dyDescent="0.3">
      <c r="A20" s="6" t="s">
        <v>247</v>
      </c>
      <c r="B20" s="101">
        <f>14.45</f>
        <v>14.45</v>
      </c>
      <c r="C20" s="8"/>
      <c r="D20" s="8"/>
      <c r="E20" s="8"/>
      <c r="F20" s="8"/>
    </row>
    <row r="21" spans="1:6" x14ac:dyDescent="0.3">
      <c r="A21" s="6" t="s">
        <v>35</v>
      </c>
      <c r="B21" s="54">
        <f>8368</f>
        <v>8368</v>
      </c>
      <c r="C21" s="8"/>
      <c r="D21" s="8"/>
      <c r="E21" s="8"/>
      <c r="F21" s="8"/>
    </row>
    <row r="22" spans="1:6" x14ac:dyDescent="0.3">
      <c r="A22" s="6" t="s">
        <v>248</v>
      </c>
      <c r="B22" s="54">
        <f>B20*B21</f>
        <v>120917.59999999999</v>
      </c>
      <c r="C22" s="8"/>
      <c r="D22" s="8"/>
      <c r="E22" s="8"/>
      <c r="F22" s="8"/>
    </row>
    <row r="23" spans="1:6" x14ac:dyDescent="0.3">
      <c r="A23" s="6" t="s">
        <v>249</v>
      </c>
      <c r="B23" s="54">
        <f>B15</f>
        <v>4311</v>
      </c>
      <c r="C23" s="8"/>
      <c r="D23" s="8"/>
      <c r="E23" s="8"/>
      <c r="F23" s="8"/>
    </row>
    <row r="24" spans="1:6" x14ac:dyDescent="0.3">
      <c r="A24" s="6" t="s">
        <v>250</v>
      </c>
      <c r="B24" s="99">
        <f>B22/(B22+B23)</f>
        <v>0.96557495651951708</v>
      </c>
      <c r="C24" s="8"/>
      <c r="D24" s="8"/>
      <c r="E24" s="8"/>
      <c r="F24" s="8"/>
    </row>
    <row r="25" spans="1:6" x14ac:dyDescent="0.3">
      <c r="A25" s="6" t="s">
        <v>251</v>
      </c>
      <c r="B25" s="99">
        <f>B23/(B22+B23)</f>
        <v>3.4425043480482892E-2</v>
      </c>
      <c r="C25" s="8"/>
      <c r="D25" s="8"/>
      <c r="E25" s="8"/>
      <c r="F25" s="8"/>
    </row>
    <row r="26" spans="1:6" x14ac:dyDescent="0.3">
      <c r="A26" s="6" t="s">
        <v>236</v>
      </c>
      <c r="B26" s="99">
        <f>B24*B11+B25*B18</f>
        <v>9.619399091951196E-2</v>
      </c>
      <c r="C26" s="8"/>
      <c r="D26" s="8"/>
      <c r="E26" s="8"/>
      <c r="F26" s="8"/>
    </row>
    <row r="27" spans="1:6" x14ac:dyDescent="0.3">
      <c r="A27" s="6" t="s">
        <v>252</v>
      </c>
      <c r="B27" s="98">
        <f>2.5%</f>
        <v>2.5000000000000001E-2</v>
      </c>
      <c r="C27" s="8"/>
      <c r="D27" s="8"/>
      <c r="E27" s="8"/>
      <c r="F27" s="8"/>
    </row>
    <row r="28" spans="1:6" x14ac:dyDescent="0.3">
      <c r="A28" s="8"/>
      <c r="B28" s="8"/>
      <c r="C28" s="8"/>
      <c r="D28" s="8"/>
      <c r="E28" s="8"/>
      <c r="F28" s="8"/>
    </row>
    <row r="29" spans="1:6" x14ac:dyDescent="0.3">
      <c r="A29" s="8"/>
      <c r="B29" s="8"/>
      <c r="C29" s="8"/>
      <c r="D29" s="8"/>
      <c r="E29" s="8"/>
      <c r="F29" s="8"/>
    </row>
    <row r="30" spans="1:6" x14ac:dyDescent="0.3">
      <c r="A30" s="74" t="s">
        <v>253</v>
      </c>
      <c r="B30" s="75"/>
      <c r="C30" s="75"/>
      <c r="D30" s="75"/>
      <c r="E30" s="75"/>
      <c r="F30" s="75"/>
    </row>
    <row r="31" spans="1:6" x14ac:dyDescent="0.3">
      <c r="A31" s="6" t="s">
        <v>254</v>
      </c>
      <c r="B31" s="54">
        <f>2534</f>
        <v>2534</v>
      </c>
      <c r="C31" s="8"/>
      <c r="D31" s="8"/>
      <c r="E31" s="8"/>
      <c r="F31" s="8"/>
    </row>
    <row r="32" spans="1:6" x14ac:dyDescent="0.3">
      <c r="A32" s="6" t="s">
        <v>159</v>
      </c>
      <c r="B32" s="99">
        <f>B17</f>
        <v>0.25</v>
      </c>
      <c r="C32" s="8"/>
      <c r="D32" s="8"/>
      <c r="E32" s="8"/>
      <c r="F32" s="8"/>
    </row>
    <row r="33" spans="1:6" x14ac:dyDescent="0.3">
      <c r="A33" s="6" t="s">
        <v>164</v>
      </c>
      <c r="B33" s="54">
        <f>-B31*B32</f>
        <v>-633.5</v>
      </c>
      <c r="C33" s="8"/>
      <c r="D33" s="8"/>
      <c r="E33" s="8"/>
      <c r="F33" s="8"/>
    </row>
    <row r="34" spans="1:6" x14ac:dyDescent="0.3">
      <c r="A34" s="6" t="s">
        <v>165</v>
      </c>
      <c r="B34" s="54">
        <f>B31+B33</f>
        <v>1900.5</v>
      </c>
      <c r="C34" s="8"/>
      <c r="D34" s="8"/>
      <c r="E34" s="8"/>
      <c r="F34" s="8"/>
    </row>
    <row r="35" spans="1:6" x14ac:dyDescent="0.3">
      <c r="A35" s="6" t="s">
        <v>166</v>
      </c>
      <c r="B35" s="54">
        <f>426</f>
        <v>426</v>
      </c>
      <c r="C35" s="8"/>
      <c r="D35" s="8"/>
      <c r="E35" s="8"/>
      <c r="F35" s="8"/>
    </row>
    <row r="36" spans="1:6" x14ac:dyDescent="0.3">
      <c r="A36" s="6" t="s">
        <v>28</v>
      </c>
      <c r="B36" s="54">
        <f>-362</f>
        <v>-362</v>
      </c>
      <c r="C36" s="8"/>
      <c r="D36" s="8"/>
      <c r="E36" s="8"/>
      <c r="F36" s="8"/>
    </row>
    <row r="37" spans="1:6" x14ac:dyDescent="0.3">
      <c r="A37" s="6" t="s">
        <v>84</v>
      </c>
      <c r="B37" s="54">
        <f>65</f>
        <v>65</v>
      </c>
      <c r="C37" s="8"/>
      <c r="D37" s="8"/>
      <c r="E37" s="8"/>
      <c r="F37" s="8"/>
    </row>
    <row r="38" spans="1:6" x14ac:dyDescent="0.3">
      <c r="A38" s="6" t="s">
        <v>255</v>
      </c>
      <c r="B38" s="54">
        <f>SUM(B34:B37)</f>
        <v>2029.5</v>
      </c>
      <c r="C38" s="8"/>
      <c r="D38" s="8"/>
      <c r="E38" s="8"/>
      <c r="F38" s="8"/>
    </row>
    <row r="39" spans="1:6" x14ac:dyDescent="0.3">
      <c r="A39" s="8"/>
      <c r="B39" s="8"/>
      <c r="C39" s="8"/>
      <c r="D39" s="8"/>
      <c r="E39" s="8"/>
      <c r="F39" s="8"/>
    </row>
    <row r="40" spans="1:6" x14ac:dyDescent="0.3">
      <c r="A40" s="8"/>
      <c r="B40" s="8"/>
      <c r="C40" s="8"/>
      <c r="D40" s="8"/>
      <c r="E40" s="8"/>
      <c r="F40" s="8"/>
    </row>
    <row r="41" spans="1:6" x14ac:dyDescent="0.3">
      <c r="A41" s="74" t="s">
        <v>256</v>
      </c>
      <c r="B41" s="75"/>
      <c r="C41" s="75"/>
      <c r="D41" s="75"/>
      <c r="E41" s="75"/>
      <c r="F41" s="75"/>
    </row>
    <row r="42" spans="1:6" x14ac:dyDescent="0.3">
      <c r="A42" s="8"/>
      <c r="B42" s="61" t="s">
        <v>257</v>
      </c>
      <c r="C42" s="6" t="s">
        <v>11</v>
      </c>
      <c r="D42" s="6" t="s">
        <v>12</v>
      </c>
      <c r="E42" s="6" t="s">
        <v>13</v>
      </c>
      <c r="F42" s="6" t="s">
        <v>14</v>
      </c>
    </row>
    <row r="43" spans="1:6" x14ac:dyDescent="0.3">
      <c r="A43" s="6" t="s">
        <v>258</v>
      </c>
      <c r="B43" s="11">
        <f>Forecast_Model!C28</f>
        <v>4006.9847132683567</v>
      </c>
      <c r="C43" s="11">
        <f>Forecast_Model!D28</f>
        <v>4151.4340827210062</v>
      </c>
      <c r="D43" s="11">
        <f>Forecast_Model!E28</f>
        <v>4557.8524882788888</v>
      </c>
      <c r="E43" s="11">
        <f>Forecast_Model!F28</f>
        <v>4915.612944694848</v>
      </c>
      <c r="F43" s="11">
        <f>Forecast_Model!G28</f>
        <v>5207.4201808193193</v>
      </c>
    </row>
    <row r="44" spans="1:6" x14ac:dyDescent="0.3">
      <c r="A44" s="6" t="s">
        <v>259</v>
      </c>
      <c r="B44" s="54">
        <f>-$B$38</f>
        <v>-2029.5</v>
      </c>
      <c r="C44" s="8"/>
      <c r="D44" s="8"/>
      <c r="E44" s="8"/>
      <c r="F44" s="8"/>
    </row>
    <row r="45" spans="1:6" x14ac:dyDescent="0.3">
      <c r="A45" s="6" t="s">
        <v>260</v>
      </c>
      <c r="B45" s="45">
        <f>SUM(B43:B44)</f>
        <v>1977.4847132683567</v>
      </c>
      <c r="C45" s="45">
        <f>C43</f>
        <v>4151.4340827210062</v>
      </c>
      <c r="D45" s="45">
        <f t="shared" ref="D45:F45" si="0">D43</f>
        <v>4557.8524882788888</v>
      </c>
      <c r="E45" s="45">
        <f t="shared" si="0"/>
        <v>4915.612944694848</v>
      </c>
      <c r="F45" s="45">
        <f t="shared" si="0"/>
        <v>5207.4201808193193</v>
      </c>
    </row>
    <row r="46" spans="1:6" x14ac:dyDescent="0.3">
      <c r="A46" s="6" t="s">
        <v>261</v>
      </c>
      <c r="B46" s="104">
        <v>0.25</v>
      </c>
      <c r="C46" s="23">
        <v>1</v>
      </c>
      <c r="D46" s="23">
        <v>2</v>
      </c>
      <c r="E46" s="23">
        <v>3</v>
      </c>
      <c r="F46" s="23">
        <v>4</v>
      </c>
    </row>
    <row r="47" spans="1:6" x14ac:dyDescent="0.3">
      <c r="A47" s="6" t="s">
        <v>262</v>
      </c>
      <c r="B47" s="106">
        <f>1/(1+$B$26)^B46</f>
        <v>0.97730055575936714</v>
      </c>
      <c r="C47" s="106">
        <f t="shared" ref="C47:F47" si="1">1/(1+$B$26)^C46</f>
        <v>0.91224729225269485</v>
      </c>
      <c r="D47" s="106">
        <f t="shared" si="1"/>
        <v>0.83219512222237368</v>
      </c>
      <c r="E47" s="106">
        <f t="shared" si="1"/>
        <v>0.75916774687326094</v>
      </c>
      <c r="F47" s="106">
        <f t="shared" si="1"/>
        <v>0.69254872145071156</v>
      </c>
    </row>
    <row r="48" spans="1:6" x14ac:dyDescent="0.3">
      <c r="A48" s="6" t="s">
        <v>263</v>
      </c>
      <c r="B48" s="54">
        <f>B45*B47</f>
        <v>1932.5969092828177</v>
      </c>
      <c r="C48" s="54">
        <f t="shared" ref="C48:F48" si="2">C45*C47</f>
        <v>3787.1345009277879</v>
      </c>
      <c r="D48" s="54">
        <f t="shared" si="2"/>
        <v>3793.0226085547997</v>
      </c>
      <c r="E48" s="54">
        <f t="shared" si="2"/>
        <v>3731.774803725023</v>
      </c>
      <c r="F48" s="54">
        <f t="shared" si="2"/>
        <v>3606.3921882830527</v>
      </c>
    </row>
    <row r="49" spans="1:6" x14ac:dyDescent="0.3">
      <c r="A49" s="8"/>
      <c r="B49" s="8"/>
      <c r="C49" s="8"/>
      <c r="D49" s="8"/>
      <c r="E49" s="8"/>
      <c r="F49" s="8"/>
    </row>
    <row r="50" spans="1:6" x14ac:dyDescent="0.3">
      <c r="A50" s="8"/>
      <c r="B50" s="8"/>
      <c r="C50" s="8"/>
      <c r="D50" s="8"/>
      <c r="E50" s="8"/>
      <c r="F50" s="8"/>
    </row>
    <row r="51" spans="1:6" x14ac:dyDescent="0.3">
      <c r="A51" s="74" t="s">
        <v>264</v>
      </c>
      <c r="B51" s="75"/>
      <c r="C51" s="75"/>
      <c r="D51" s="75"/>
      <c r="E51" s="75"/>
      <c r="F51" s="75"/>
    </row>
    <row r="52" spans="1:6" x14ac:dyDescent="0.3">
      <c r="A52" s="6" t="s">
        <v>265</v>
      </c>
      <c r="B52" s="45">
        <f>F45</f>
        <v>5207.4201808193193</v>
      </c>
      <c r="C52" s="8"/>
      <c r="D52" s="8"/>
      <c r="E52" s="8"/>
      <c r="F52" s="8"/>
    </row>
    <row r="53" spans="1:6" x14ac:dyDescent="0.3">
      <c r="A53" s="6" t="s">
        <v>266</v>
      </c>
      <c r="B53" s="99">
        <f>$B$27</f>
        <v>2.5000000000000001E-2</v>
      </c>
      <c r="C53" s="8"/>
      <c r="D53" s="8"/>
      <c r="E53" s="8"/>
      <c r="F53" s="8"/>
    </row>
    <row r="54" spans="1:6" x14ac:dyDescent="0.3">
      <c r="A54" s="6" t="s">
        <v>236</v>
      </c>
      <c r="B54" s="99">
        <f>$B$26</f>
        <v>9.619399091951196E-2</v>
      </c>
      <c r="C54" s="8"/>
      <c r="D54" s="8"/>
      <c r="E54" s="8"/>
      <c r="F54" s="8"/>
    </row>
    <row r="55" spans="1:6" x14ac:dyDescent="0.3">
      <c r="A55" s="6" t="s">
        <v>267</v>
      </c>
      <c r="B55" s="54">
        <f>B52*(1+B53)/(B54-B53)</f>
        <v>74972.699470861364</v>
      </c>
      <c r="C55" s="8"/>
      <c r="D55" s="8"/>
      <c r="E55" s="8"/>
      <c r="F55" s="8"/>
    </row>
    <row r="56" spans="1:6" x14ac:dyDescent="0.3">
      <c r="A56" s="6" t="s">
        <v>268</v>
      </c>
      <c r="B56" s="105">
        <f>4.5</f>
        <v>4.5</v>
      </c>
      <c r="C56" s="8"/>
      <c r="D56" s="8"/>
      <c r="E56" s="8"/>
      <c r="F56" s="8"/>
    </row>
    <row r="57" spans="1:6" x14ac:dyDescent="0.3">
      <c r="A57" s="6" t="s">
        <v>269</v>
      </c>
      <c r="B57" s="54">
        <f>B55/(1+$B$26)^B56</f>
        <v>49591.788558318993</v>
      </c>
      <c r="C57" s="8"/>
      <c r="D57" s="8"/>
      <c r="E57" s="8"/>
      <c r="F57" s="8"/>
    </row>
    <row r="58" spans="1:6" x14ac:dyDescent="0.3">
      <c r="A58" s="8"/>
      <c r="B58" s="8"/>
      <c r="C58" s="8"/>
      <c r="D58" s="8"/>
      <c r="E58" s="8"/>
      <c r="F58" s="8"/>
    </row>
    <row r="59" spans="1:6" x14ac:dyDescent="0.3">
      <c r="A59" s="8"/>
      <c r="B59" s="8"/>
      <c r="C59" s="8"/>
      <c r="D59" s="8"/>
      <c r="E59" s="8"/>
      <c r="F59" s="8"/>
    </row>
    <row r="60" spans="1:6" x14ac:dyDescent="0.3">
      <c r="A60" s="89" t="s">
        <v>270</v>
      </c>
      <c r="B60" s="93">
        <f>SUM(B48:F48)+B57</f>
        <v>66442.709569092476</v>
      </c>
      <c r="C60" s="8"/>
      <c r="D60" s="8"/>
      <c r="E60" s="8"/>
      <c r="F60" s="8"/>
    </row>
    <row r="61" spans="1:6" x14ac:dyDescent="0.3">
      <c r="A61" s="6" t="s">
        <v>271</v>
      </c>
      <c r="B61" s="54">
        <f>2136</f>
        <v>2136</v>
      </c>
      <c r="C61" s="8"/>
      <c r="D61" s="8"/>
      <c r="E61" s="8"/>
      <c r="F61" s="8"/>
    </row>
    <row r="62" spans="1:6" x14ac:dyDescent="0.3">
      <c r="A62" s="89" t="s">
        <v>272</v>
      </c>
      <c r="B62" s="93">
        <f>SUM(B60:B61)</f>
        <v>68578.709569092476</v>
      </c>
      <c r="C62" s="8"/>
      <c r="D62" s="8"/>
      <c r="E62" s="8"/>
      <c r="F62" s="8"/>
    </row>
    <row r="63" spans="1:6" x14ac:dyDescent="0.3">
      <c r="A63" s="6" t="s">
        <v>273</v>
      </c>
      <c r="B63" s="54">
        <f>$B$21</f>
        <v>8368</v>
      </c>
      <c r="C63" s="8"/>
      <c r="D63" s="8"/>
      <c r="E63" s="8"/>
      <c r="F63" s="8"/>
    </row>
    <row r="64" spans="1:6" x14ac:dyDescent="0.3">
      <c r="A64" s="89" t="s">
        <v>274</v>
      </c>
      <c r="B64" s="102">
        <f>B62/B63</f>
        <v>8.1953524819661183</v>
      </c>
      <c r="C64" s="8"/>
      <c r="D64" s="8"/>
      <c r="E64" s="8"/>
      <c r="F64" s="8"/>
    </row>
    <row r="65" spans="1:6" x14ac:dyDescent="0.3">
      <c r="A65" s="6" t="s">
        <v>275</v>
      </c>
      <c r="B65" s="103">
        <f>$B$20</f>
        <v>14.45</v>
      </c>
      <c r="C65" s="8"/>
      <c r="D65" s="8"/>
      <c r="E65" s="8"/>
      <c r="F65" s="8"/>
    </row>
    <row r="66" spans="1:6" x14ac:dyDescent="0.3">
      <c r="A66" s="6" t="s">
        <v>276</v>
      </c>
      <c r="B66" s="99">
        <f>B64/B65-1</f>
        <v>-0.43284757910269078</v>
      </c>
      <c r="C66" s="8"/>
      <c r="D66" s="8"/>
      <c r="E66" s="8"/>
      <c r="F66" s="8"/>
    </row>
    <row r="67" spans="1:6" x14ac:dyDescent="0.3">
      <c r="A67" s="8"/>
      <c r="B67" s="8"/>
      <c r="C67" s="8"/>
      <c r="D67" s="8"/>
      <c r="E67" s="8"/>
      <c r="F67" s="8"/>
    </row>
    <row r="68" spans="1:6" x14ac:dyDescent="0.3">
      <c r="A68" s="74" t="s">
        <v>277</v>
      </c>
      <c r="B68" s="75"/>
      <c r="C68" s="75"/>
      <c r="D68" s="75"/>
      <c r="E68" s="75"/>
      <c r="F68" s="75"/>
    </row>
    <row r="69" spans="1:6" x14ac:dyDescent="0.3">
      <c r="A69" s="6" t="s">
        <v>278</v>
      </c>
      <c r="B69" s="54">
        <f>B20*B21</f>
        <v>120917.59999999999</v>
      </c>
      <c r="C69" s="8"/>
      <c r="D69" s="8"/>
      <c r="E69" s="8"/>
      <c r="F69" s="8"/>
    </row>
    <row r="70" spans="1:6" x14ac:dyDescent="0.3">
      <c r="A70" s="6" t="s">
        <v>279</v>
      </c>
      <c r="B70" s="54">
        <f>B69-B61</f>
        <v>118781.59999999999</v>
      </c>
      <c r="C70" s="8"/>
      <c r="D70" s="8"/>
      <c r="E70" s="8"/>
      <c r="F70" s="8"/>
    </row>
    <row r="71" spans="1:6" x14ac:dyDescent="0.3">
      <c r="A71" s="6" t="s">
        <v>280</v>
      </c>
      <c r="B71" s="99">
        <f>B60/B70-1</f>
        <v>-0.44063129668995471</v>
      </c>
      <c r="C71" s="8"/>
      <c r="D71" s="8"/>
      <c r="E71" s="8"/>
      <c r="F71" s="8"/>
    </row>
    <row r="72" spans="1:6" x14ac:dyDescent="0.3">
      <c r="A72" s="8"/>
      <c r="B72" s="8"/>
      <c r="C72" s="8"/>
      <c r="D72" s="8"/>
      <c r="E72" s="8"/>
      <c r="F72" s="8"/>
    </row>
    <row r="73" spans="1:6" x14ac:dyDescent="0.3">
      <c r="A73" s="6" t="s">
        <v>281</v>
      </c>
      <c r="B73" s="99">
        <f>B57/B60</f>
        <v>0.74638419895789254</v>
      </c>
      <c r="C73" s="8"/>
      <c r="D73" s="8"/>
      <c r="E73" s="8"/>
      <c r="F73" s="8"/>
    </row>
    <row r="74" spans="1:6" x14ac:dyDescent="0.3">
      <c r="A74" s="8"/>
      <c r="B74" s="8"/>
      <c r="C74" s="8"/>
      <c r="D74" s="8"/>
      <c r="E74" s="8"/>
      <c r="F74" s="8"/>
    </row>
    <row r="75" spans="1:6" x14ac:dyDescent="0.3">
      <c r="A75" s="6" t="s">
        <v>282</v>
      </c>
      <c r="B75" s="45">
        <f>F45</f>
        <v>5207.4201808193193</v>
      </c>
      <c r="C75" s="8"/>
      <c r="D75" s="8"/>
      <c r="E75" s="8"/>
      <c r="F75" s="8"/>
    </row>
    <row r="76" spans="1:6" x14ac:dyDescent="0.3">
      <c r="A76" s="6" t="s">
        <v>283</v>
      </c>
      <c r="B76" s="107">
        <f>B70/B75</f>
        <v>22.810066381336501</v>
      </c>
      <c r="C76" s="8"/>
      <c r="D76" s="8"/>
      <c r="E76" s="8"/>
      <c r="F76" s="8"/>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553E2-A198-49BF-9501-7B1ABF8295E9}">
  <sheetPr>
    <tabColor theme="4" tint="-0.249977111117893"/>
  </sheetPr>
  <dimension ref="A1:S40"/>
  <sheetViews>
    <sheetView showGridLines="0" topLeftCell="B27" workbookViewId="0">
      <selection activeCell="E42" sqref="E42"/>
    </sheetView>
  </sheetViews>
  <sheetFormatPr defaultRowHeight="14.4" x14ac:dyDescent="0.3"/>
  <cols>
    <col min="1" max="1" width="31.5546875" bestFit="1" customWidth="1"/>
    <col min="2" max="2" width="13.77734375" customWidth="1"/>
    <col min="3" max="3" width="15.6640625" bestFit="1" customWidth="1"/>
    <col min="4" max="4" width="10.33203125" bestFit="1" customWidth="1"/>
    <col min="5" max="5" width="14.5546875" bestFit="1" customWidth="1"/>
    <col min="6" max="6" width="34" bestFit="1" customWidth="1"/>
    <col min="7" max="7" width="39.44140625" bestFit="1" customWidth="1"/>
    <col min="8" max="8" width="27.21875" bestFit="1" customWidth="1"/>
    <col min="9" max="9" width="11" bestFit="1" customWidth="1"/>
    <col min="10" max="10" width="8" bestFit="1" customWidth="1"/>
    <col min="11" max="11" width="10.5546875" bestFit="1" customWidth="1"/>
    <col min="12" max="12" width="20.5546875" bestFit="1" customWidth="1"/>
    <col min="13" max="13" width="3.77734375" customWidth="1"/>
    <col min="14" max="14" width="24.77734375" customWidth="1"/>
    <col min="15" max="19" width="16.77734375" customWidth="1"/>
  </cols>
  <sheetData>
    <row r="1" spans="1:19" ht="21" x14ac:dyDescent="0.3">
      <c r="A1" s="72" t="s">
        <v>230</v>
      </c>
      <c r="B1" s="72" t="s">
        <v>332</v>
      </c>
      <c r="C1" s="72" t="s">
        <v>333</v>
      </c>
      <c r="D1" s="73"/>
      <c r="E1" s="73"/>
      <c r="F1" s="73"/>
      <c r="G1" s="73"/>
      <c r="H1" s="73"/>
      <c r="I1" s="73"/>
      <c r="J1" s="73"/>
      <c r="K1" s="73"/>
      <c r="L1" s="73"/>
      <c r="M1" s="73"/>
      <c r="N1" s="73"/>
      <c r="O1" s="73"/>
      <c r="P1" s="73"/>
      <c r="Q1" s="73"/>
      <c r="R1" s="73"/>
      <c r="S1" s="73"/>
    </row>
    <row r="2" spans="1:19" x14ac:dyDescent="0.3">
      <c r="A2" s="8"/>
      <c r="B2" s="8"/>
      <c r="C2" s="8"/>
      <c r="D2" s="8"/>
      <c r="E2" s="8"/>
      <c r="F2" s="8"/>
      <c r="G2" s="8"/>
      <c r="H2" s="8"/>
      <c r="I2" s="8"/>
      <c r="J2" s="8"/>
      <c r="K2" s="8"/>
      <c r="L2" s="8"/>
      <c r="M2" s="8"/>
      <c r="N2" s="8"/>
      <c r="O2" s="8"/>
      <c r="P2" s="8"/>
      <c r="Q2" s="8"/>
      <c r="R2" s="8"/>
      <c r="S2" s="8"/>
    </row>
    <row r="3" spans="1:19" x14ac:dyDescent="0.3">
      <c r="A3" s="74" t="s">
        <v>334</v>
      </c>
      <c r="B3" s="74" t="s">
        <v>335</v>
      </c>
      <c r="C3" s="75"/>
      <c r="D3" s="75"/>
      <c r="E3" s="75"/>
      <c r="F3" s="75"/>
      <c r="G3" s="75"/>
      <c r="H3" s="75"/>
      <c r="I3" s="75"/>
      <c r="J3" s="75"/>
      <c r="K3" s="75"/>
      <c r="L3" s="75"/>
      <c r="M3" s="8"/>
      <c r="N3" s="74" t="s">
        <v>354</v>
      </c>
      <c r="O3" s="75"/>
      <c r="P3" s="75"/>
      <c r="Q3" s="75"/>
      <c r="R3" s="75"/>
      <c r="S3" s="75"/>
    </row>
    <row r="4" spans="1:19" x14ac:dyDescent="0.3">
      <c r="A4" s="8"/>
      <c r="B4" s="8"/>
      <c r="C4" s="8"/>
      <c r="D4" s="8"/>
      <c r="E4" s="8"/>
      <c r="F4" s="8"/>
      <c r="G4" s="8"/>
      <c r="H4" s="8"/>
      <c r="I4" s="8"/>
      <c r="J4" s="8"/>
      <c r="K4" s="8"/>
      <c r="L4" s="8"/>
      <c r="M4" s="8"/>
      <c r="N4" s="8"/>
      <c r="O4" s="8"/>
      <c r="P4" s="8"/>
      <c r="Q4" s="8"/>
      <c r="R4" s="8"/>
      <c r="S4" s="8"/>
    </row>
    <row r="5" spans="1:19" x14ac:dyDescent="0.3">
      <c r="A5" s="6" t="s">
        <v>336</v>
      </c>
      <c r="B5" s="6" t="s">
        <v>337</v>
      </c>
      <c r="C5" s="6" t="s">
        <v>338</v>
      </c>
      <c r="D5" s="6" t="s">
        <v>339</v>
      </c>
      <c r="E5" s="6" t="s">
        <v>270</v>
      </c>
      <c r="F5" s="6" t="s">
        <v>358</v>
      </c>
      <c r="G5" s="6" t="s">
        <v>359</v>
      </c>
      <c r="H5" s="6" t="s">
        <v>360</v>
      </c>
      <c r="I5" s="6" t="s">
        <v>340</v>
      </c>
      <c r="J5" s="6" t="s">
        <v>341</v>
      </c>
      <c r="K5" s="6" t="s">
        <v>342</v>
      </c>
      <c r="L5" s="6" t="s">
        <v>361</v>
      </c>
      <c r="M5" s="8"/>
      <c r="N5" s="6" t="s">
        <v>336</v>
      </c>
      <c r="O5" s="6" t="s">
        <v>356</v>
      </c>
      <c r="P5" s="6" t="s">
        <v>355</v>
      </c>
      <c r="Q5" s="6" t="s">
        <v>357</v>
      </c>
      <c r="R5" s="6" t="s">
        <v>339</v>
      </c>
      <c r="S5" s="6" t="s">
        <v>270</v>
      </c>
    </row>
    <row r="6" spans="1:19" x14ac:dyDescent="0.3">
      <c r="A6" s="6" t="s">
        <v>347</v>
      </c>
      <c r="B6" s="6" t="s">
        <v>343</v>
      </c>
      <c r="C6" s="8"/>
      <c r="D6" s="54">
        <f ca="1">R6</f>
        <v>387768.23798349005</v>
      </c>
      <c r="E6" s="54">
        <f ca="1">S6</f>
        <v>396580.23798349005</v>
      </c>
      <c r="F6" s="23">
        <v>42322</v>
      </c>
      <c r="G6" s="23">
        <v>9055</v>
      </c>
      <c r="H6" s="8"/>
      <c r="I6" s="63">
        <f ca="1">E6/F6</f>
        <v>9.3705457677683022</v>
      </c>
      <c r="J6" s="63">
        <f ca="1">E6/G6</f>
        <v>43.79682363152844</v>
      </c>
      <c r="K6" s="8"/>
      <c r="L6" s="6" t="s">
        <v>362</v>
      </c>
      <c r="M6" s="8"/>
      <c r="N6" s="6" t="s">
        <v>347</v>
      </c>
      <c r="O6" s="54" cm="1" vm="1">
        <f t="array" aca="1" ref="O6" ca="1">_xlfn.STOCKHISTORY(B6,DATE(2026,6,30),DATE(2026,6,30),0,0,1)</f>
        <v>373.73</v>
      </c>
      <c r="P6" s="23">
        <v>1037.5625130000001</v>
      </c>
      <c r="Q6" s="23">
        <v>8812</v>
      </c>
      <c r="R6" s="54">
        <f ca="1">O6*P6</f>
        <v>387768.23798349005</v>
      </c>
      <c r="S6" s="54">
        <f ca="1">R6+Q6</f>
        <v>396580.23798349005</v>
      </c>
    </row>
    <row r="7" spans="1:19" x14ac:dyDescent="0.3">
      <c r="A7" s="6" t="s">
        <v>344</v>
      </c>
      <c r="B7" s="6" t="s">
        <v>350</v>
      </c>
      <c r="C7" s="8"/>
      <c r="D7" s="54">
        <f t="shared" ref="D7:D11" ca="1" si="0">R7</f>
        <v>143017.62479999999</v>
      </c>
      <c r="E7" s="54">
        <f t="shared" ref="E7:E11" ca="1" si="1">S7</f>
        <v>141350.62479999999</v>
      </c>
      <c r="F7" s="23">
        <v>31329</v>
      </c>
      <c r="G7" s="23">
        <v>5197</v>
      </c>
      <c r="H7" s="8"/>
      <c r="I7" s="63">
        <f t="shared" ref="I7:I11" ca="1" si="2">E7/F7</f>
        <v>4.5118141274857155</v>
      </c>
      <c r="J7" s="63">
        <f t="shared" ref="J7:J11" ca="1" si="3">E7/G7</f>
        <v>27.198503906099671</v>
      </c>
      <c r="K7" s="8"/>
      <c r="L7" s="6" t="s">
        <v>362</v>
      </c>
      <c r="M7" s="8"/>
      <c r="N7" s="6" t="s">
        <v>344</v>
      </c>
      <c r="O7" s="54" cm="1" vm="2">
        <f t="array" aca="1" ref="O7" ca="1">_xlfn.STOCKHISTORY("XPAR:SAF",DATE(2026,6,30),DATE(2026,6,30),0,0,1)</f>
        <v>345</v>
      </c>
      <c r="P7" s="23">
        <v>414.54383999999999</v>
      </c>
      <c r="Q7" s="23">
        <v>-1667</v>
      </c>
      <c r="R7" s="54">
        <f t="shared" ref="R7:R9" ca="1" si="4">O7*P7</f>
        <v>143017.62479999999</v>
      </c>
      <c r="S7" s="54">
        <f t="shared" ref="S7:S11" ca="1" si="5">R7+Q7</f>
        <v>141350.62479999999</v>
      </c>
    </row>
    <row r="8" spans="1:19" x14ac:dyDescent="0.3">
      <c r="A8" s="6" t="s">
        <v>345</v>
      </c>
      <c r="B8" s="6" t="s">
        <v>345</v>
      </c>
      <c r="C8" s="8"/>
      <c r="D8" s="54">
        <f t="shared" ca="1" si="0"/>
        <v>255710.15266111997</v>
      </c>
      <c r="E8" s="54">
        <f t="shared" ca="1" si="1"/>
        <v>284559.15266111994</v>
      </c>
      <c r="F8" s="23">
        <v>88603</v>
      </c>
      <c r="G8" s="23">
        <v>11389</v>
      </c>
      <c r="H8" s="8"/>
      <c r="I8" s="63">
        <f t="shared" ca="1" si="2"/>
        <v>3.2116198397471862</v>
      </c>
      <c r="J8" s="63">
        <f t="shared" ca="1" si="3"/>
        <v>24.985437936703832</v>
      </c>
      <c r="K8" s="8"/>
      <c r="L8" s="6" t="s">
        <v>362</v>
      </c>
      <c r="M8" s="8"/>
      <c r="N8" s="6" t="s">
        <v>345</v>
      </c>
      <c r="O8" s="54" cm="1" vm="3">
        <f t="array" aca="1" ref="O8" ca="1">_xlfn.STOCKHISTORY("XNYS:RTX",DATE(2026,6,30),DATE(2026,6,30),0,0,1)</f>
        <v>189.73</v>
      </c>
      <c r="P8" s="23">
        <v>1347.7581439999999</v>
      </c>
      <c r="Q8" s="23">
        <v>28849</v>
      </c>
      <c r="R8" s="54">
        <f t="shared" ca="1" si="4"/>
        <v>255710.15266111997</v>
      </c>
      <c r="S8" s="54">
        <f t="shared" ca="1" si="5"/>
        <v>284559.15266111994</v>
      </c>
    </row>
    <row r="9" spans="1:19" x14ac:dyDescent="0.3">
      <c r="A9" s="6" t="s">
        <v>348</v>
      </c>
      <c r="B9" s="6" t="s">
        <v>351</v>
      </c>
      <c r="C9" s="8"/>
      <c r="D9" s="54">
        <f t="shared" ca="1" si="0"/>
        <v>19603.516434599998</v>
      </c>
      <c r="E9" s="54">
        <f t="shared" ca="1" si="1"/>
        <v>20827.516434599998</v>
      </c>
      <c r="F9" s="23">
        <v>8717</v>
      </c>
      <c r="G9" s="23">
        <v>1351</v>
      </c>
      <c r="H9" s="8"/>
      <c r="I9" s="63">
        <f t="shared" ca="1" si="2"/>
        <v>2.3892986617643683</v>
      </c>
      <c r="J9" s="63">
        <f t="shared" ca="1" si="3"/>
        <v>15.416370417912656</v>
      </c>
      <c r="K9" s="8"/>
      <c r="L9" s="6" t="s">
        <v>362</v>
      </c>
      <c r="M9" s="8"/>
      <c r="N9" s="6" t="s">
        <v>348</v>
      </c>
      <c r="O9" s="54" cm="1" vm="4">
        <f t="array" aca="1" ref="O9" ca="1">_xlfn.STOCKHISTORY("XETR:MTX",DATE(2026,6,30),DATE(2026,6,30),0,0,1)</f>
        <v>363.9</v>
      </c>
      <c r="P9" s="23">
        <v>53.870614000000003</v>
      </c>
      <c r="Q9" s="23">
        <v>1224</v>
      </c>
      <c r="R9" s="54">
        <f t="shared" ca="1" si="4"/>
        <v>19603.516434599998</v>
      </c>
      <c r="S9" s="54">
        <f t="shared" ca="1" si="5"/>
        <v>20827.516434599998</v>
      </c>
    </row>
    <row r="10" spans="1:19" x14ac:dyDescent="0.3">
      <c r="A10" s="6" t="s">
        <v>349</v>
      </c>
      <c r="B10" s="6" t="s">
        <v>352</v>
      </c>
      <c r="C10" s="8"/>
      <c r="D10" s="54">
        <f t="shared" ca="1" si="0"/>
        <v>55227.8</v>
      </c>
      <c r="E10" s="54">
        <f t="shared" ca="1" si="1"/>
        <v>58400.800000000003</v>
      </c>
      <c r="F10" s="23">
        <v>30662</v>
      </c>
      <c r="G10" s="23">
        <v>3322</v>
      </c>
      <c r="H10" s="8"/>
      <c r="I10" s="63">
        <f t="shared" ca="1" si="2"/>
        <v>1.9046637531798318</v>
      </c>
      <c r="J10" s="63">
        <f t="shared" ca="1" si="3"/>
        <v>17.580012040939195</v>
      </c>
      <c r="K10" s="8"/>
      <c r="L10" s="6" t="s">
        <v>363</v>
      </c>
      <c r="M10" s="8"/>
      <c r="N10" s="6" t="s">
        <v>349</v>
      </c>
      <c r="O10" s="45" cm="1" vm="5">
        <f t="array" aca="1" ref="O10" ca="1">_xlfn.STOCKHISTORY("XLON:BA.",DATE(2026,6,30),DATE(2026,6,30),0,0,1)</f>
        <v>1844</v>
      </c>
      <c r="P10" s="23">
        <v>2995</v>
      </c>
      <c r="Q10" s="23">
        <v>3173</v>
      </c>
      <c r="R10" s="54">
        <f ca="1">(O10/100)*P10</f>
        <v>55227.8</v>
      </c>
      <c r="S10" s="54">
        <f t="shared" ca="1" si="5"/>
        <v>58400.800000000003</v>
      </c>
    </row>
    <row r="11" spans="1:19" x14ac:dyDescent="0.3">
      <c r="A11" s="6" t="s">
        <v>346</v>
      </c>
      <c r="B11" s="6" t="s">
        <v>353</v>
      </c>
      <c r="C11" s="8"/>
      <c r="D11" s="54">
        <f t="shared" ca="1" si="0"/>
        <v>120684.42330343398</v>
      </c>
      <c r="E11" s="54">
        <f t="shared" ca="1" si="1"/>
        <v>118548.42330343398</v>
      </c>
      <c r="F11" s="23">
        <v>20059</v>
      </c>
      <c r="G11" s="23">
        <v>3462</v>
      </c>
      <c r="H11" s="8"/>
      <c r="I11" s="63">
        <f t="shared" ca="1" si="2"/>
        <v>5.909986704393738</v>
      </c>
      <c r="J11" s="63">
        <f t="shared" ca="1" si="3"/>
        <v>34.242756586780466</v>
      </c>
      <c r="K11" s="8"/>
      <c r="L11" s="6" t="s">
        <v>171</v>
      </c>
      <c r="M11" s="8"/>
      <c r="N11" s="6" t="s">
        <v>346</v>
      </c>
      <c r="O11" s="45" cm="1" vm="6">
        <f t="array" aca="1" ref="O11" ca="1">_xlfn.STOCKHISTORY("XLON:RR.",DATE(2026,6,30),DATE(2026,6,30),0,0,1)</f>
        <v>1444.6</v>
      </c>
      <c r="P11" s="23">
        <v>8354.1757789999992</v>
      </c>
      <c r="Q11" s="23">
        <v>-2136</v>
      </c>
      <c r="R11" s="54">
        <f ca="1">(O11/100)*P11</f>
        <v>120684.42330343398</v>
      </c>
      <c r="S11" s="54">
        <f t="shared" ca="1" si="5"/>
        <v>118548.42330343398</v>
      </c>
    </row>
    <row r="12" spans="1:19" x14ac:dyDescent="0.3">
      <c r="A12" s="8"/>
      <c r="B12" s="8"/>
      <c r="C12" s="8"/>
      <c r="D12" s="8"/>
      <c r="E12" s="8"/>
      <c r="F12" s="8"/>
      <c r="G12" s="8"/>
      <c r="H12" s="8"/>
      <c r="I12" s="8"/>
      <c r="J12" s="8"/>
      <c r="K12" s="8"/>
      <c r="L12" s="8"/>
      <c r="M12" s="8"/>
      <c r="N12" s="8"/>
      <c r="O12" s="8"/>
      <c r="P12" s="8"/>
      <c r="Q12" s="8"/>
      <c r="R12" s="8"/>
      <c r="S12" s="8"/>
    </row>
    <row r="13" spans="1:19" x14ac:dyDescent="0.3">
      <c r="A13" s="8"/>
      <c r="B13" s="8"/>
      <c r="C13" s="8"/>
      <c r="D13" s="8"/>
      <c r="E13" s="8"/>
      <c r="F13" s="8"/>
      <c r="G13" s="8"/>
      <c r="H13" s="8"/>
      <c r="I13" s="8"/>
      <c r="J13" s="8"/>
      <c r="K13" s="8"/>
      <c r="L13" s="8"/>
      <c r="M13" s="8"/>
      <c r="N13" s="8"/>
      <c r="O13" s="8"/>
      <c r="P13" s="8"/>
      <c r="Q13" s="8"/>
      <c r="R13" s="8"/>
      <c r="S13" s="8"/>
    </row>
    <row r="14" spans="1:19" x14ac:dyDescent="0.3">
      <c r="A14" s="74" t="s">
        <v>364</v>
      </c>
      <c r="B14" s="75"/>
      <c r="C14" s="75"/>
      <c r="D14" s="75"/>
      <c r="E14" s="75"/>
      <c r="F14" s="75"/>
      <c r="G14" s="75"/>
      <c r="H14" s="75"/>
      <c r="I14" s="75"/>
      <c r="J14" s="75"/>
      <c r="K14" s="75"/>
      <c r="L14" s="75"/>
      <c r="M14" s="8"/>
      <c r="N14" s="8"/>
      <c r="O14" s="8"/>
      <c r="P14" s="8"/>
      <c r="Q14" s="8"/>
      <c r="R14" s="8"/>
      <c r="S14" s="8"/>
    </row>
    <row r="15" spans="1:19" x14ac:dyDescent="0.3">
      <c r="A15" s="6" t="s">
        <v>365</v>
      </c>
      <c r="B15" s="6" t="s">
        <v>366</v>
      </c>
      <c r="C15" s="6" t="s">
        <v>367</v>
      </c>
      <c r="D15" s="8"/>
      <c r="E15" s="8"/>
      <c r="F15" s="8"/>
      <c r="G15" s="8"/>
      <c r="H15" s="8"/>
      <c r="I15" s="8"/>
      <c r="J15" s="8"/>
      <c r="K15" s="8"/>
      <c r="L15" s="8"/>
      <c r="M15" s="8"/>
      <c r="N15" s="8"/>
      <c r="O15" s="8"/>
      <c r="P15" s="8"/>
      <c r="Q15" s="8"/>
      <c r="R15" s="8"/>
      <c r="S15" s="8"/>
    </row>
    <row r="16" spans="1:19" x14ac:dyDescent="0.3">
      <c r="A16" s="6" t="s">
        <v>368</v>
      </c>
      <c r="B16" s="63">
        <f ca="1">MIN(I6:I10)</f>
        <v>1.9046637531798318</v>
      </c>
      <c r="C16" s="63">
        <f ca="1">MIN(J6:J10)</f>
        <v>15.416370417912656</v>
      </c>
      <c r="D16" s="8"/>
      <c r="E16" s="8"/>
      <c r="F16" s="8"/>
      <c r="G16" s="8"/>
      <c r="H16" s="8"/>
      <c r="I16" s="8"/>
      <c r="J16" s="8"/>
      <c r="K16" s="8"/>
      <c r="L16" s="8"/>
      <c r="M16" s="8"/>
      <c r="N16" s="8"/>
      <c r="O16" s="8"/>
      <c r="P16" s="8"/>
      <c r="Q16" s="8"/>
      <c r="R16" s="8"/>
      <c r="S16" s="8"/>
    </row>
    <row r="17" spans="1:19" x14ac:dyDescent="0.3">
      <c r="A17" s="6" t="s">
        <v>369</v>
      </c>
      <c r="B17" s="54">
        <f ca="1">_xlfn.QUARTILE.INC(I6:I10,1)</f>
        <v>2.3892986617643683</v>
      </c>
      <c r="C17" s="54">
        <f ca="1">_xlfn.QUARTILE.INC(J6:J10,1)</f>
        <v>17.580012040939195</v>
      </c>
      <c r="D17" s="8"/>
      <c r="E17" s="8"/>
      <c r="F17" s="8"/>
      <c r="G17" s="8"/>
      <c r="H17" s="8"/>
      <c r="I17" s="8"/>
      <c r="J17" s="8"/>
      <c r="K17" s="8"/>
      <c r="L17" s="8"/>
      <c r="M17" s="8"/>
      <c r="N17" s="8"/>
      <c r="O17" s="8"/>
      <c r="P17" s="8"/>
      <c r="Q17" s="8"/>
      <c r="R17" s="8"/>
      <c r="S17" s="8"/>
    </row>
    <row r="18" spans="1:19" x14ac:dyDescent="0.3">
      <c r="A18" s="6" t="s">
        <v>370</v>
      </c>
      <c r="B18" s="63">
        <f ca="1">MEDIAN(I6:I10)</f>
        <v>3.2116198397471862</v>
      </c>
      <c r="C18" s="63">
        <f ca="1">MEDIAN(J6:J10)</f>
        <v>24.985437936703832</v>
      </c>
      <c r="D18" s="8"/>
      <c r="E18" s="8"/>
      <c r="F18" s="8"/>
      <c r="G18" s="8"/>
      <c r="H18" s="8"/>
      <c r="I18" s="8"/>
      <c r="J18" s="8"/>
      <c r="K18" s="8"/>
      <c r="L18" s="8"/>
      <c r="M18" s="8"/>
      <c r="N18" s="8"/>
      <c r="O18" s="8"/>
      <c r="P18" s="8"/>
      <c r="Q18" s="8"/>
      <c r="R18" s="8"/>
      <c r="S18" s="8"/>
    </row>
    <row r="19" spans="1:19" x14ac:dyDescent="0.3">
      <c r="A19" s="6" t="s">
        <v>371</v>
      </c>
      <c r="B19" s="54">
        <f ca="1">_xlfn.QUARTILE.INC(I6:I10,3)</f>
        <v>4.5118141274857155</v>
      </c>
      <c r="C19" s="54">
        <f ca="1">_xlfn.QUARTILE.INC(J6:J10,3)</f>
        <v>27.198503906099671</v>
      </c>
      <c r="D19" s="8"/>
      <c r="E19" s="8"/>
      <c r="F19" s="8"/>
      <c r="G19" s="8"/>
      <c r="H19" s="8"/>
      <c r="I19" s="8"/>
      <c r="J19" s="8"/>
      <c r="K19" s="8"/>
      <c r="L19" s="8"/>
      <c r="M19" s="8"/>
      <c r="N19" s="8"/>
      <c r="O19" s="8"/>
      <c r="P19" s="8"/>
      <c r="Q19" s="8"/>
      <c r="R19" s="8"/>
      <c r="S19" s="8"/>
    </row>
    <row r="20" spans="1:19" x14ac:dyDescent="0.3">
      <c r="A20" s="6" t="s">
        <v>372</v>
      </c>
      <c r="B20" s="63">
        <f ca="1">MAX(I6:I10)</f>
        <v>9.3705457677683022</v>
      </c>
      <c r="C20" s="63">
        <f ca="1">MAX(J6:J10)</f>
        <v>43.79682363152844</v>
      </c>
      <c r="D20" s="8"/>
      <c r="E20" s="8"/>
      <c r="F20" s="8"/>
      <c r="G20" s="8"/>
      <c r="H20" s="8"/>
      <c r="I20" s="8"/>
      <c r="J20" s="8"/>
      <c r="K20" s="8"/>
      <c r="L20" s="8"/>
      <c r="M20" s="8"/>
      <c r="N20" s="8"/>
      <c r="O20" s="8"/>
      <c r="P20" s="8"/>
      <c r="Q20" s="8"/>
      <c r="R20" s="8"/>
      <c r="S20" s="8"/>
    </row>
    <row r="21" spans="1:19" x14ac:dyDescent="0.3">
      <c r="A21" s="8"/>
      <c r="B21" s="8"/>
      <c r="C21" s="8"/>
      <c r="D21" s="8"/>
      <c r="E21" s="8"/>
      <c r="F21" s="8"/>
      <c r="G21" s="8"/>
      <c r="H21" s="8"/>
      <c r="I21" s="8"/>
      <c r="J21" s="8"/>
      <c r="K21" s="8"/>
      <c r="L21" s="8"/>
      <c r="M21" s="8"/>
      <c r="N21" s="8"/>
      <c r="O21" s="8"/>
      <c r="P21" s="8"/>
      <c r="Q21" s="8"/>
      <c r="R21" s="8"/>
      <c r="S21" s="8"/>
    </row>
    <row r="22" spans="1:19" x14ac:dyDescent="0.3">
      <c r="A22" s="74" t="s">
        <v>373</v>
      </c>
      <c r="B22" s="75"/>
      <c r="C22" s="75"/>
      <c r="D22" s="75"/>
      <c r="E22" s="75"/>
      <c r="F22" s="75"/>
      <c r="G22" s="75"/>
      <c r="H22" s="75"/>
      <c r="I22" s="75"/>
      <c r="J22" s="75"/>
      <c r="K22" s="75"/>
      <c r="L22" s="75"/>
      <c r="M22" s="8"/>
      <c r="N22" s="8"/>
      <c r="O22" s="8"/>
      <c r="P22" s="8"/>
      <c r="Q22" s="8"/>
      <c r="R22" s="8"/>
      <c r="S22" s="8"/>
    </row>
    <row r="23" spans="1:19" x14ac:dyDescent="0.3">
      <c r="A23" s="6" t="s">
        <v>366</v>
      </c>
      <c r="B23" s="63">
        <f ca="1">I11</f>
        <v>5.909986704393738</v>
      </c>
      <c r="C23" s="8"/>
      <c r="D23" s="8"/>
      <c r="E23" s="8"/>
      <c r="F23" s="8"/>
      <c r="G23" s="8"/>
      <c r="H23" s="8"/>
      <c r="I23" s="8"/>
      <c r="J23" s="8"/>
      <c r="K23" s="8"/>
      <c r="L23" s="8"/>
      <c r="M23" s="8"/>
      <c r="N23" s="8"/>
      <c r="O23" s="8"/>
      <c r="P23" s="8"/>
      <c r="Q23" s="8"/>
      <c r="R23" s="8"/>
      <c r="S23" s="8"/>
    </row>
    <row r="24" spans="1:19" x14ac:dyDescent="0.3">
      <c r="A24" s="6" t="s">
        <v>367</v>
      </c>
      <c r="B24" s="63">
        <f ca="1">J11</f>
        <v>34.242756586780466</v>
      </c>
      <c r="C24" s="8"/>
      <c r="D24" s="8"/>
      <c r="E24" s="8"/>
      <c r="F24" s="8"/>
      <c r="G24" s="8"/>
      <c r="H24" s="8"/>
      <c r="I24" s="8"/>
      <c r="J24" s="8"/>
      <c r="K24" s="8"/>
      <c r="L24" s="8"/>
      <c r="M24" s="8"/>
      <c r="N24" s="8"/>
      <c r="O24" s="8"/>
      <c r="P24" s="8"/>
      <c r="Q24" s="8"/>
      <c r="R24" s="8"/>
      <c r="S24" s="8"/>
    </row>
    <row r="25" spans="1:19" x14ac:dyDescent="0.3">
      <c r="A25" s="8"/>
      <c r="B25" s="8"/>
      <c r="C25" s="8"/>
      <c r="D25" s="8"/>
      <c r="E25" s="8"/>
      <c r="F25" s="8"/>
      <c r="G25" s="8"/>
      <c r="H25" s="8"/>
      <c r="I25" s="8"/>
      <c r="J25" s="8"/>
      <c r="K25" s="8"/>
      <c r="L25" s="8"/>
      <c r="M25" s="8"/>
      <c r="N25" s="8"/>
      <c r="O25" s="8"/>
      <c r="P25" s="8"/>
      <c r="Q25" s="8"/>
      <c r="R25" s="8"/>
      <c r="S25" s="8"/>
    </row>
    <row r="26" spans="1:19" x14ac:dyDescent="0.3">
      <c r="A26" s="8"/>
      <c r="B26" s="8"/>
      <c r="C26" s="8"/>
      <c r="D26" s="8"/>
      <c r="E26" s="8"/>
      <c r="F26" s="8"/>
      <c r="G26" s="8"/>
      <c r="H26" s="8"/>
      <c r="I26" s="8"/>
      <c r="J26" s="8"/>
      <c r="K26" s="8"/>
      <c r="L26" s="8"/>
      <c r="M26" s="8"/>
      <c r="N26" s="8"/>
      <c r="O26" s="8"/>
      <c r="P26" s="8"/>
      <c r="Q26" s="8"/>
      <c r="R26" s="8"/>
      <c r="S26" s="8"/>
    </row>
    <row r="27" spans="1:19" x14ac:dyDescent="0.3">
      <c r="A27" s="74" t="s">
        <v>374</v>
      </c>
      <c r="B27" s="75"/>
      <c r="C27" s="75"/>
      <c r="D27" s="75"/>
      <c r="E27" s="75"/>
      <c r="F27" s="75"/>
      <c r="G27" s="75"/>
      <c r="H27" s="75"/>
      <c r="I27" s="75"/>
      <c r="J27" s="75"/>
      <c r="K27" s="75"/>
      <c r="L27" s="75"/>
      <c r="M27" s="8"/>
      <c r="N27" s="8"/>
      <c r="O27" s="8"/>
      <c r="P27" s="8"/>
      <c r="Q27" s="8"/>
      <c r="R27" s="8"/>
      <c r="S27" s="8"/>
    </row>
    <row r="28" spans="1:19" x14ac:dyDescent="0.3">
      <c r="A28" s="6" t="s">
        <v>102</v>
      </c>
      <c r="B28" s="6" t="s">
        <v>340</v>
      </c>
      <c r="C28" s="6" t="s">
        <v>341</v>
      </c>
      <c r="D28" s="8"/>
      <c r="E28" s="8"/>
      <c r="F28" s="8"/>
      <c r="G28" s="8"/>
      <c r="H28" s="8"/>
      <c r="I28" s="8"/>
      <c r="J28" s="8"/>
      <c r="K28" s="8"/>
      <c r="L28" s="8"/>
      <c r="M28" s="8"/>
      <c r="N28" s="8"/>
      <c r="O28" s="8"/>
      <c r="P28" s="8"/>
      <c r="Q28" s="8"/>
      <c r="R28" s="8"/>
      <c r="S28" s="8"/>
    </row>
    <row r="29" spans="1:19" x14ac:dyDescent="0.3">
      <c r="A29" s="6" t="s">
        <v>375</v>
      </c>
      <c r="B29" s="63">
        <f ca="1">B18</f>
        <v>3.2116198397471862</v>
      </c>
      <c r="C29" s="63">
        <f ca="1">C18</f>
        <v>24.985437936703832</v>
      </c>
      <c r="D29" s="8"/>
      <c r="E29" s="8"/>
      <c r="F29" s="8"/>
      <c r="G29" s="8"/>
      <c r="H29" s="8"/>
      <c r="I29" s="8"/>
      <c r="J29" s="8"/>
      <c r="K29" s="8"/>
      <c r="L29" s="8"/>
      <c r="M29" s="8"/>
      <c r="N29" s="8"/>
      <c r="O29" s="8"/>
      <c r="P29" s="8"/>
      <c r="Q29" s="8"/>
      <c r="R29" s="8"/>
      <c r="S29" s="8"/>
    </row>
    <row r="30" spans="1:19" x14ac:dyDescent="0.3">
      <c r="A30" s="6" t="s">
        <v>376</v>
      </c>
      <c r="B30" s="54">
        <f>F11</f>
        <v>20059</v>
      </c>
      <c r="C30" s="54">
        <f>G11</f>
        <v>3462</v>
      </c>
      <c r="D30" s="8"/>
      <c r="E30" s="8"/>
      <c r="F30" s="8"/>
      <c r="G30" s="8"/>
      <c r="H30" s="8"/>
      <c r="I30" s="8"/>
      <c r="J30" s="8"/>
      <c r="K30" s="8"/>
      <c r="L30" s="8"/>
      <c r="M30" s="8"/>
      <c r="N30" s="8"/>
      <c r="O30" s="8"/>
      <c r="P30" s="8"/>
      <c r="Q30" s="8"/>
      <c r="R30" s="8"/>
      <c r="S30" s="8"/>
    </row>
    <row r="31" spans="1:19" x14ac:dyDescent="0.3">
      <c r="A31" s="6" t="s">
        <v>377</v>
      </c>
      <c r="B31" s="54">
        <f ca="1">B29*B30</f>
        <v>64421.882365488811</v>
      </c>
      <c r="C31" s="54">
        <f ca="1">C29*C30</f>
        <v>86499.58613686866</v>
      </c>
      <c r="D31" s="8"/>
      <c r="E31" s="8"/>
      <c r="F31" s="8"/>
      <c r="G31" s="8"/>
      <c r="H31" s="8"/>
      <c r="I31" s="8"/>
      <c r="J31" s="8"/>
      <c r="K31" s="8"/>
      <c r="L31" s="8"/>
      <c r="M31" s="8"/>
      <c r="N31" s="8"/>
      <c r="O31" s="8"/>
      <c r="P31" s="8"/>
      <c r="Q31" s="8"/>
      <c r="R31" s="8"/>
      <c r="S31" s="8"/>
    </row>
    <row r="32" spans="1:19" x14ac:dyDescent="0.3">
      <c r="A32" s="6" t="s">
        <v>271</v>
      </c>
      <c r="B32" s="10">
        <f>DCF!$B$61</f>
        <v>2136</v>
      </c>
      <c r="C32" s="10">
        <f>DCF!$B$61</f>
        <v>2136</v>
      </c>
      <c r="D32" s="8"/>
      <c r="E32" s="8"/>
      <c r="F32" s="8"/>
      <c r="G32" s="8"/>
      <c r="H32" s="8"/>
      <c r="I32" s="8"/>
      <c r="J32" s="8"/>
      <c r="K32" s="8"/>
      <c r="L32" s="8"/>
      <c r="M32" s="8"/>
      <c r="N32" s="8"/>
      <c r="O32" s="8"/>
      <c r="P32" s="8"/>
      <c r="Q32" s="8"/>
      <c r="R32" s="8"/>
      <c r="S32" s="8"/>
    </row>
    <row r="33" spans="1:19" x14ac:dyDescent="0.3">
      <c r="A33" s="6" t="s">
        <v>378</v>
      </c>
      <c r="B33" s="54">
        <f ca="1">SUM(B31:B32)</f>
        <v>66557.882365488811</v>
      </c>
      <c r="C33" s="54">
        <f ca="1">SUM(C31:C32)</f>
        <v>88635.58613686866</v>
      </c>
      <c r="D33" s="8"/>
      <c r="E33" s="8"/>
      <c r="F33" s="8"/>
      <c r="G33" s="8"/>
      <c r="H33" s="8"/>
      <c r="I33" s="8"/>
      <c r="J33" s="8"/>
      <c r="K33" s="8"/>
      <c r="L33" s="8"/>
      <c r="M33" s="8"/>
      <c r="N33" s="8"/>
      <c r="O33" s="8"/>
      <c r="P33" s="8"/>
      <c r="Q33" s="8"/>
      <c r="R33" s="8"/>
      <c r="S33" s="8"/>
    </row>
    <row r="34" spans="1:19" x14ac:dyDescent="0.3">
      <c r="A34" s="6" t="s">
        <v>273</v>
      </c>
      <c r="B34" s="10">
        <f>DCF!$B$63</f>
        <v>8368</v>
      </c>
      <c r="C34" s="10">
        <f>DCF!$B$63</f>
        <v>8368</v>
      </c>
      <c r="D34" s="8"/>
      <c r="E34" s="8"/>
      <c r="F34" s="8"/>
      <c r="G34" s="8"/>
      <c r="H34" s="8"/>
      <c r="I34" s="8"/>
      <c r="J34" s="8"/>
      <c r="K34" s="8"/>
      <c r="L34" s="8"/>
      <c r="M34" s="8"/>
      <c r="N34" s="8"/>
      <c r="O34" s="8"/>
      <c r="P34" s="8"/>
      <c r="Q34" s="8"/>
      <c r="R34" s="8"/>
      <c r="S34" s="8"/>
    </row>
    <row r="35" spans="1:19" x14ac:dyDescent="0.3">
      <c r="A35" s="6" t="s">
        <v>330</v>
      </c>
      <c r="B35" s="45">
        <f ca="1">B33/B34</f>
        <v>7.9538578352639595</v>
      </c>
      <c r="C35" s="45">
        <f ca="1">C33/C34</f>
        <v>10.592206756317957</v>
      </c>
      <c r="D35" s="8"/>
      <c r="E35" s="8"/>
      <c r="F35" s="8"/>
      <c r="G35" s="8"/>
      <c r="H35" s="8"/>
      <c r="I35" s="8"/>
      <c r="J35" s="8"/>
      <c r="K35" s="8"/>
      <c r="L35" s="8"/>
      <c r="M35" s="8"/>
      <c r="N35" s="8"/>
      <c r="O35" s="8"/>
      <c r="P35" s="8"/>
      <c r="Q35" s="8"/>
      <c r="R35" s="8"/>
      <c r="S35" s="8"/>
    </row>
    <row r="36" spans="1:19" x14ac:dyDescent="0.3">
      <c r="A36" s="6" t="s">
        <v>275</v>
      </c>
      <c r="B36" s="11">
        <f>DCF!$B$65</f>
        <v>14.45</v>
      </c>
      <c r="C36" s="11">
        <f>DCF!$B$65</f>
        <v>14.45</v>
      </c>
      <c r="D36" s="8"/>
      <c r="E36" s="8"/>
      <c r="F36" s="8"/>
      <c r="G36" s="8"/>
      <c r="H36" s="8"/>
      <c r="I36" s="8"/>
      <c r="J36" s="8"/>
      <c r="K36" s="8"/>
      <c r="L36" s="8"/>
      <c r="M36" s="8"/>
      <c r="N36" s="8"/>
      <c r="O36" s="8"/>
      <c r="P36" s="8"/>
      <c r="Q36" s="8"/>
      <c r="R36" s="8"/>
      <c r="S36" s="8"/>
    </row>
    <row r="37" spans="1:19" x14ac:dyDescent="0.3">
      <c r="A37" s="6" t="s">
        <v>276</v>
      </c>
      <c r="B37" s="27">
        <f ca="1">B35/B36-1</f>
        <v>-0.44956001140041801</v>
      </c>
      <c r="C37" s="27">
        <f ca="1">C35/C36-1</f>
        <v>-0.26697531098145622</v>
      </c>
      <c r="D37" s="8"/>
      <c r="E37" s="8"/>
      <c r="F37" s="8"/>
      <c r="G37" s="8"/>
      <c r="H37" s="8"/>
      <c r="I37" s="8"/>
      <c r="J37" s="8"/>
      <c r="K37" s="8"/>
      <c r="L37" s="8"/>
      <c r="M37" s="8"/>
      <c r="N37" s="8"/>
      <c r="O37" s="8"/>
      <c r="P37" s="8"/>
      <c r="Q37" s="8"/>
      <c r="R37" s="8"/>
      <c r="S37" s="8"/>
    </row>
    <row r="38" spans="1:19" x14ac:dyDescent="0.3">
      <c r="A38" s="8"/>
      <c r="B38" s="8"/>
      <c r="C38" s="8"/>
      <c r="D38" s="8"/>
      <c r="E38" s="8"/>
      <c r="F38" s="8"/>
      <c r="G38" s="8"/>
      <c r="H38" s="8"/>
      <c r="I38" s="8"/>
      <c r="J38" s="8"/>
      <c r="K38" s="8"/>
      <c r="L38" s="8"/>
      <c r="M38" s="8"/>
      <c r="N38" s="8"/>
      <c r="O38" s="8"/>
      <c r="P38" s="8"/>
      <c r="Q38" s="8"/>
      <c r="R38" s="8"/>
      <c r="S38" s="8"/>
    </row>
    <row r="39" spans="1:19" x14ac:dyDescent="0.3">
      <c r="A39" s="89" t="s">
        <v>379</v>
      </c>
      <c r="B39" s="93">
        <f ca="1">AVERAGE(B35:C35)</f>
        <v>9.2730322957909586</v>
      </c>
      <c r="C39" s="92"/>
      <c r="D39" s="8"/>
      <c r="E39" s="8"/>
      <c r="F39" s="8"/>
      <c r="G39" s="8"/>
      <c r="H39" s="8"/>
      <c r="I39" s="8"/>
      <c r="J39" s="8"/>
      <c r="K39" s="8"/>
      <c r="L39" s="8"/>
      <c r="M39" s="8"/>
      <c r="N39" s="8"/>
      <c r="O39" s="8"/>
      <c r="P39" s="8"/>
      <c r="Q39" s="8"/>
      <c r="R39" s="8"/>
      <c r="S39" s="8"/>
    </row>
    <row r="40" spans="1:19" x14ac:dyDescent="0.3">
      <c r="A40" s="6" t="s">
        <v>380</v>
      </c>
      <c r="B40" s="111">
        <f ca="1">B39/DCF!$B$65-1</f>
        <v>-0.35826766119093711</v>
      </c>
      <c r="C40" s="8"/>
      <c r="D40" s="8"/>
      <c r="E40" s="8"/>
      <c r="F40" s="8"/>
      <c r="G40" s="8"/>
      <c r="H40" s="8"/>
      <c r="I40" s="8"/>
      <c r="J40" s="8"/>
      <c r="K40" s="8"/>
      <c r="L40" s="8"/>
      <c r="M40" s="8"/>
      <c r="N40" s="8"/>
      <c r="O40" s="8"/>
      <c r="P40" s="8"/>
      <c r="Q40" s="8"/>
      <c r="R40" s="8"/>
      <c r="S40" s="8"/>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DE158-C868-41BE-B2F3-93242A5C5316}">
  <sheetPr>
    <tabColor theme="4" tint="0.39997558519241921"/>
  </sheetPr>
  <dimension ref="A1:Q82"/>
  <sheetViews>
    <sheetView showGridLines="0" zoomScale="89" workbookViewId="0">
      <selection activeCell="M54" sqref="M54"/>
    </sheetView>
  </sheetViews>
  <sheetFormatPr defaultRowHeight="14.4" x14ac:dyDescent="0.3"/>
  <cols>
    <col min="1" max="1" width="28.77734375" customWidth="1"/>
    <col min="2" max="9" width="13.77734375" customWidth="1"/>
    <col min="10" max="11" width="13.77734375" hidden="1" customWidth="1"/>
    <col min="12" max="12" width="43.5546875" bestFit="1" customWidth="1"/>
    <col min="13" max="17" width="9.109375" bestFit="1" customWidth="1"/>
  </cols>
  <sheetData>
    <row r="1" spans="1:17" ht="21" x14ac:dyDescent="0.3">
      <c r="A1" s="72" t="s">
        <v>284</v>
      </c>
      <c r="B1" s="73"/>
      <c r="C1" s="73"/>
      <c r="D1" s="73"/>
      <c r="E1" s="73"/>
      <c r="F1" s="73"/>
      <c r="G1" s="73"/>
      <c r="H1" s="73"/>
      <c r="I1" s="73"/>
      <c r="J1" s="73"/>
      <c r="K1" s="73"/>
      <c r="L1" s="73"/>
      <c r="M1" s="73"/>
      <c r="N1" s="73"/>
      <c r="O1" s="73"/>
      <c r="P1" s="73"/>
      <c r="Q1" s="73"/>
    </row>
    <row r="2" spans="1:17" x14ac:dyDescent="0.3">
      <c r="A2" s="8"/>
      <c r="B2" s="8"/>
      <c r="C2" s="8"/>
      <c r="D2" s="8"/>
      <c r="E2" s="8"/>
      <c r="F2" s="8"/>
      <c r="G2" s="8"/>
      <c r="H2" s="8"/>
      <c r="I2" s="8"/>
      <c r="J2" s="8"/>
      <c r="K2" s="8"/>
      <c r="L2" s="8"/>
      <c r="M2" s="8"/>
      <c r="N2" s="8"/>
      <c r="O2" s="8"/>
      <c r="P2" s="8"/>
      <c r="Q2" s="8"/>
    </row>
    <row r="3" spans="1:17" x14ac:dyDescent="0.3">
      <c r="A3" s="74" t="s">
        <v>285</v>
      </c>
      <c r="B3" s="75"/>
      <c r="C3" s="75"/>
      <c r="D3" s="75"/>
      <c r="E3" s="75"/>
      <c r="F3" s="75"/>
      <c r="G3" s="75"/>
      <c r="H3" s="75"/>
      <c r="I3" s="75"/>
      <c r="J3" s="6" t="s">
        <v>286</v>
      </c>
      <c r="K3" s="10">
        <f>DCF!$B$26</f>
        <v>9.619399091951196E-2</v>
      </c>
      <c r="L3" s="8"/>
      <c r="M3" s="8"/>
      <c r="N3" s="8"/>
      <c r="O3" s="8"/>
      <c r="P3" s="8"/>
      <c r="Q3" s="8"/>
    </row>
    <row r="4" spans="1:17" x14ac:dyDescent="0.3">
      <c r="A4" s="6" t="s">
        <v>274</v>
      </c>
      <c r="B4" s="8"/>
      <c r="C4" s="8"/>
      <c r="D4" s="8"/>
      <c r="E4" s="8"/>
      <c r="F4" s="8"/>
      <c r="G4" s="8"/>
      <c r="H4" s="8"/>
      <c r="I4" s="8"/>
      <c r="J4" s="6" t="s">
        <v>287</v>
      </c>
      <c r="K4" s="10">
        <f>DCF!$B$27</f>
        <v>2.5000000000000001E-2</v>
      </c>
      <c r="L4" s="8"/>
      <c r="M4" s="8"/>
      <c r="N4" s="8"/>
      <c r="O4" s="8"/>
      <c r="P4" s="8"/>
      <c r="Q4" s="8"/>
    </row>
    <row r="5" spans="1:17" x14ac:dyDescent="0.3">
      <c r="A5" s="8"/>
      <c r="B5" s="11" cm="1">
        <f t="array" ref="B5">(SUMPRODUCT(DCF!$B$45:$F$45,1/(1+$K$3)^DCF!$B$46:$F$46)+(DCF!$F$45*(1+$K$4)/($K$3-$K$4))/(1+$K$3)^DCF!$B$56+DCF!$B$61)/DCF!$B$63</f>
        <v>8.1953524819661183</v>
      </c>
      <c r="C5" s="66">
        <v>0.08</v>
      </c>
      <c r="D5" s="66">
        <v>8.5000000000000006E-2</v>
      </c>
      <c r="E5" s="66">
        <v>0.09</v>
      </c>
      <c r="F5" s="66">
        <v>9.5000000000000001E-2</v>
      </c>
      <c r="G5" s="66">
        <v>0.1</v>
      </c>
      <c r="H5" s="66">
        <v>0.105</v>
      </c>
      <c r="I5" s="66">
        <v>0.11</v>
      </c>
      <c r="J5" s="8"/>
      <c r="K5" s="8"/>
      <c r="L5" s="8"/>
      <c r="M5" s="8"/>
      <c r="N5" s="8"/>
      <c r="O5" s="8"/>
      <c r="P5" s="8"/>
      <c r="Q5" s="8"/>
    </row>
    <row r="6" spans="1:17" x14ac:dyDescent="0.3">
      <c r="A6" s="8"/>
      <c r="B6" s="66">
        <v>1.4999999999999999E-2</v>
      </c>
      <c r="C6" s="103">
        <f t="dataTable" ref="C6:I10" dt2D="1" dtr="1" r1="K3" r2="K4"/>
        <v>9.2101389435907848</v>
      </c>
      <c r="D6" s="103">
        <v>8.5664569744113219</v>
      </c>
      <c r="E6" s="103">
        <v>8.009191248863555</v>
      </c>
      <c r="F6" s="103">
        <v>7.5221175833607514</v>
      </c>
      <c r="G6" s="103">
        <v>7.0928300425172646</v>
      </c>
      <c r="H6" s="103">
        <v>6.71168028241632</v>
      </c>
      <c r="I6" s="103">
        <v>6.371051839531046</v>
      </c>
      <c r="J6" s="8"/>
      <c r="K6" s="8"/>
      <c r="L6" s="8"/>
      <c r="M6" s="46"/>
      <c r="N6" s="8"/>
      <c r="O6" s="8"/>
      <c r="P6" s="8"/>
      <c r="Q6" s="8"/>
    </row>
    <row r="7" spans="1:17" x14ac:dyDescent="0.3">
      <c r="A7" s="8"/>
      <c r="B7" s="66">
        <v>0.02</v>
      </c>
      <c r="C7" s="103">
        <v>9.8195680655201087</v>
      </c>
      <c r="D7" s="103">
        <v>9.0804479268072669</v>
      </c>
      <c r="E7" s="103">
        <v>8.4475391267778779</v>
      </c>
      <c r="F7" s="103">
        <v>7.8995770197818329</v>
      </c>
      <c r="G7" s="103">
        <v>7.4206139618917693</v>
      </c>
      <c r="H7" s="103">
        <v>6.9984554527590799</v>
      </c>
      <c r="I7" s="103">
        <v>6.6236175650202203</v>
      </c>
      <c r="J7" s="8"/>
      <c r="K7" s="8"/>
      <c r="L7" s="8"/>
      <c r="M7" s="8"/>
      <c r="N7" s="8"/>
      <c r="O7" s="8"/>
      <c r="P7" s="8"/>
      <c r="Q7" s="8"/>
    </row>
    <row r="8" spans="1:17" x14ac:dyDescent="0.3">
      <c r="A8" s="8"/>
      <c r="B8" s="66">
        <v>2.5000000000000001E-2</v>
      </c>
      <c r="C8" s="103">
        <v>10.539802482345669</v>
      </c>
      <c r="D8" s="103">
        <v>9.6801040379358696</v>
      </c>
      <c r="E8" s="103">
        <v>8.9533251397559415</v>
      </c>
      <c r="F8" s="103">
        <v>8.3309592328344966</v>
      </c>
      <c r="G8" s="103">
        <v>7.7921024038495368</v>
      </c>
      <c r="H8" s="103">
        <v>7.3210775193946853</v>
      </c>
      <c r="I8" s="103">
        <v>6.9058969052728267</v>
      </c>
      <c r="J8" s="8"/>
      <c r="K8" s="8"/>
      <c r="L8" s="8"/>
      <c r="M8" s="8"/>
      <c r="N8" s="8"/>
      <c r="O8" s="8"/>
      <c r="P8" s="8"/>
      <c r="Q8" s="8"/>
    </row>
    <row r="9" spans="1:17" x14ac:dyDescent="0.3">
      <c r="A9" s="8"/>
      <c r="B9" s="66">
        <v>0.03</v>
      </c>
      <c r="C9" s="103">
        <v>11.404083782536345</v>
      </c>
      <c r="D9" s="103">
        <v>10.388788532906036</v>
      </c>
      <c r="E9" s="103">
        <v>9.5434088215636805</v>
      </c>
      <c r="F9" s="103">
        <v>8.8287079402029551</v>
      </c>
      <c r="G9" s="103">
        <v>8.2166606232298438</v>
      </c>
      <c r="H9" s="103">
        <v>7.6867158615817033</v>
      </c>
      <c r="I9" s="103">
        <v>7.22346116305701</v>
      </c>
      <c r="J9" s="8"/>
      <c r="K9" s="8"/>
      <c r="L9" s="8"/>
      <c r="M9" s="8"/>
      <c r="N9" s="8"/>
      <c r="O9" s="8"/>
      <c r="P9" s="8"/>
      <c r="Q9" s="8"/>
    </row>
    <row r="10" spans="1:17" x14ac:dyDescent="0.3">
      <c r="A10" s="8"/>
      <c r="B10" s="66">
        <v>3.5000000000000003E-2</v>
      </c>
      <c r="C10" s="103">
        <v>12.460427593880505</v>
      </c>
      <c r="D10" s="103">
        <v>11.239209926870235</v>
      </c>
      <c r="E10" s="103">
        <v>10.240780445518284</v>
      </c>
      <c r="F10" s="103">
        <v>9.4094147654661562</v>
      </c>
      <c r="G10" s="103">
        <v>8.7065354917455835</v>
      </c>
      <c r="H10" s="103">
        <v>8.1045882526525812</v>
      </c>
      <c r="I10" s="103">
        <v>7.5833673218790834</v>
      </c>
      <c r="J10" s="8"/>
      <c r="K10" s="8"/>
      <c r="L10" s="8"/>
      <c r="M10" s="8"/>
      <c r="N10" s="8"/>
      <c r="O10" s="8"/>
      <c r="P10" s="8"/>
      <c r="Q10" s="8"/>
    </row>
    <row r="11" spans="1:17" x14ac:dyDescent="0.3">
      <c r="A11" s="8"/>
      <c r="B11" s="8"/>
      <c r="C11" s="7"/>
      <c r="D11" s="7"/>
      <c r="E11" s="8"/>
      <c r="F11" s="8"/>
      <c r="G11" s="8"/>
      <c r="H11" s="8"/>
      <c r="I11" s="8"/>
      <c r="J11" s="8"/>
      <c r="K11" s="8"/>
      <c r="L11" s="8"/>
      <c r="M11" s="8"/>
      <c r="N11" s="8"/>
      <c r="O11" s="8"/>
      <c r="P11" s="8"/>
      <c r="Q11" s="8"/>
    </row>
    <row r="12" spans="1:17" x14ac:dyDescent="0.3">
      <c r="A12" s="8"/>
      <c r="B12" s="8"/>
      <c r="C12" s="8"/>
      <c r="D12" s="7"/>
      <c r="E12" s="8"/>
      <c r="F12" s="8"/>
      <c r="G12" s="8"/>
      <c r="H12" s="8"/>
      <c r="I12" s="8"/>
      <c r="J12" s="8"/>
      <c r="K12" s="8"/>
      <c r="L12" s="6" t="s">
        <v>288</v>
      </c>
      <c r="M12" s="8"/>
      <c r="N12" s="8"/>
      <c r="O12" s="8"/>
      <c r="P12" s="8"/>
      <c r="Q12" s="8"/>
    </row>
    <row r="13" spans="1:17" x14ac:dyDescent="0.3">
      <c r="A13" s="74" t="s">
        <v>296</v>
      </c>
      <c r="B13" s="75"/>
      <c r="C13" s="75"/>
      <c r="D13" s="79"/>
      <c r="E13" s="8"/>
      <c r="F13" s="8"/>
      <c r="G13" s="8"/>
      <c r="H13" s="8"/>
      <c r="I13" s="8"/>
      <c r="J13" s="8"/>
      <c r="K13" s="8"/>
      <c r="L13" s="6" t="s">
        <v>289</v>
      </c>
      <c r="M13" s="110">
        <f>DCF!$B$65</f>
        <v>14.45</v>
      </c>
      <c r="N13" s="8"/>
      <c r="O13" s="8"/>
      <c r="P13" s="8"/>
      <c r="Q13" s="8"/>
    </row>
    <row r="14" spans="1:17" x14ac:dyDescent="0.3">
      <c r="A14" s="8"/>
      <c r="B14" s="8"/>
      <c r="C14" s="8"/>
      <c r="D14" s="7"/>
      <c r="E14" s="8"/>
      <c r="F14" s="8"/>
      <c r="G14" s="8"/>
      <c r="H14" s="8"/>
      <c r="I14" s="8"/>
      <c r="J14" s="8"/>
      <c r="K14" s="8"/>
      <c r="L14" s="6" t="s">
        <v>266</v>
      </c>
      <c r="M14" s="108">
        <f>DCF!$B$27</f>
        <v>2.5000000000000001E-2</v>
      </c>
      <c r="N14" s="8"/>
      <c r="O14" s="8"/>
      <c r="P14" s="8"/>
      <c r="Q14" s="8"/>
    </row>
    <row r="15" spans="1:17" x14ac:dyDescent="0.3">
      <c r="A15" s="6" t="s">
        <v>297</v>
      </c>
      <c r="B15" s="6" t="s">
        <v>298</v>
      </c>
      <c r="C15" s="6" t="s">
        <v>299</v>
      </c>
      <c r="D15" s="6" t="s">
        <v>300</v>
      </c>
      <c r="E15" s="8"/>
      <c r="F15" s="8"/>
      <c r="G15" s="8"/>
      <c r="H15" s="8"/>
      <c r="I15" s="8"/>
      <c r="J15" s="8"/>
      <c r="K15" s="8"/>
      <c r="L15" s="6" t="s">
        <v>290</v>
      </c>
      <c r="M15" s="109">
        <v>6.4903225664038694E-2</v>
      </c>
      <c r="N15" s="8"/>
      <c r="O15" s="8"/>
      <c r="P15" s="8"/>
      <c r="Q15" s="8"/>
    </row>
    <row r="16" spans="1:17" x14ac:dyDescent="0.3">
      <c r="A16" s="6" t="s">
        <v>301</v>
      </c>
      <c r="B16" s="94">
        <v>-0.02</v>
      </c>
      <c r="C16" s="94">
        <v>0</v>
      </c>
      <c r="D16" s="94">
        <v>0.02</v>
      </c>
      <c r="E16" s="8"/>
      <c r="F16" s="8"/>
      <c r="G16" s="8"/>
      <c r="H16" s="8"/>
      <c r="I16" s="8"/>
      <c r="J16" s="8"/>
      <c r="K16" s="8"/>
      <c r="L16" s="6" t="s">
        <v>291</v>
      </c>
      <c r="M16" s="110" cm="1">
        <f t="array" ref="M16">(SUMPRODUCT(DCF!$B$45:$F$45,1/(1+$M$15)^DCF!$B$46:$F$46)+(DCF!$F$45*(1+$M$14)/($M$15-$M$14))/(1+$M$15)^DCF!$B$56+DCF!$B$61)/DCF!$B$63</f>
        <v>14.449804787768482</v>
      </c>
      <c r="N16" s="8"/>
      <c r="O16" s="8"/>
      <c r="P16" s="8"/>
      <c r="Q16" s="8"/>
    </row>
    <row r="17" spans="1:17" x14ac:dyDescent="0.3">
      <c r="A17" s="6" t="s">
        <v>302</v>
      </c>
      <c r="B17" s="94">
        <v>-0.01</v>
      </c>
      <c r="C17" s="94">
        <v>0</v>
      </c>
      <c r="D17" s="94">
        <v>0.01</v>
      </c>
      <c r="E17" s="8"/>
      <c r="F17" s="8"/>
      <c r="G17" s="8"/>
      <c r="H17" s="8"/>
      <c r="I17" s="8"/>
      <c r="J17" s="8"/>
      <c r="K17" s="8"/>
      <c r="L17" s="6" t="s">
        <v>292</v>
      </c>
      <c r="M17" s="31">
        <f>M15</f>
        <v>6.4903225664038694E-2</v>
      </c>
      <c r="N17" s="8"/>
      <c r="O17" s="8"/>
      <c r="P17" s="8"/>
      <c r="Q17" s="8"/>
    </row>
    <row r="18" spans="1:17" x14ac:dyDescent="0.3">
      <c r="A18" s="6" t="s">
        <v>303</v>
      </c>
      <c r="B18" s="94">
        <v>5.0000000000000001E-3</v>
      </c>
      <c r="C18" s="94">
        <v>0</v>
      </c>
      <c r="D18" s="94">
        <v>-5.0000000000000001E-3</v>
      </c>
      <c r="E18" s="8"/>
      <c r="F18" s="8"/>
      <c r="G18" s="8"/>
      <c r="H18" s="8"/>
      <c r="I18" s="8"/>
      <c r="J18" s="8"/>
      <c r="K18" s="8"/>
      <c r="L18" s="8"/>
      <c r="M18" s="8"/>
      <c r="N18" s="8"/>
      <c r="O18" s="8"/>
      <c r="P18" s="8"/>
      <c r="Q18" s="8"/>
    </row>
    <row r="19" spans="1:17" x14ac:dyDescent="0.3">
      <c r="A19" s="6" t="s">
        <v>252</v>
      </c>
      <c r="B19" s="94">
        <v>0.02</v>
      </c>
      <c r="C19" s="94">
        <v>2.5000000000000001E-2</v>
      </c>
      <c r="D19" s="94">
        <v>0.03</v>
      </c>
      <c r="E19" s="8"/>
      <c r="F19" s="8"/>
      <c r="G19" s="8"/>
      <c r="H19" s="8"/>
      <c r="I19" s="8"/>
      <c r="J19" s="8"/>
      <c r="K19" s="8"/>
      <c r="L19" s="8"/>
      <c r="M19" s="8"/>
      <c r="N19" s="8"/>
      <c r="O19" s="8"/>
      <c r="P19" s="8"/>
      <c r="Q19" s="8"/>
    </row>
    <row r="20" spans="1:17" x14ac:dyDescent="0.3">
      <c r="A20" s="8"/>
      <c r="B20" s="8"/>
      <c r="C20" s="8"/>
      <c r="D20" s="8"/>
      <c r="E20" s="8"/>
      <c r="F20" s="8"/>
      <c r="G20" s="8"/>
      <c r="H20" s="8"/>
      <c r="I20" s="8"/>
      <c r="J20" s="8"/>
      <c r="K20" s="8"/>
      <c r="L20" s="6" t="s">
        <v>293</v>
      </c>
      <c r="M20" s="8"/>
      <c r="N20" s="8"/>
      <c r="O20" s="8"/>
      <c r="P20" s="8"/>
      <c r="Q20" s="8"/>
    </row>
    <row r="21" spans="1:17" x14ac:dyDescent="0.3">
      <c r="A21" s="6" t="s">
        <v>304</v>
      </c>
      <c r="B21" s="6" t="s">
        <v>299</v>
      </c>
      <c r="C21" s="8"/>
      <c r="D21" s="8"/>
      <c r="E21" s="8"/>
      <c r="F21" s="8"/>
      <c r="G21" s="8"/>
      <c r="H21" s="8"/>
      <c r="I21" s="8"/>
      <c r="J21" s="8"/>
      <c r="K21" s="8"/>
      <c r="L21" s="6" t="s">
        <v>289</v>
      </c>
      <c r="M21" s="110">
        <f>DCF!$B$65</f>
        <v>14.45</v>
      </c>
      <c r="N21" s="8"/>
      <c r="O21" s="8"/>
      <c r="P21" s="8"/>
      <c r="Q21" s="8"/>
    </row>
    <row r="22" spans="1:17" x14ac:dyDescent="0.3">
      <c r="A22" s="8"/>
      <c r="B22" s="8"/>
      <c r="C22" s="8"/>
      <c r="D22" s="8"/>
      <c r="E22" s="8"/>
      <c r="F22" s="8"/>
      <c r="G22" s="8"/>
      <c r="H22" s="8"/>
      <c r="I22" s="8"/>
      <c r="J22" s="8"/>
      <c r="K22" s="8"/>
      <c r="L22" s="6" t="s">
        <v>236</v>
      </c>
      <c r="M22" s="108">
        <f>DCF!$B$26</f>
        <v>9.619399091951196E-2</v>
      </c>
      <c r="N22" s="8"/>
      <c r="O22" s="8"/>
      <c r="P22" s="8"/>
      <c r="Q22" s="8"/>
    </row>
    <row r="23" spans="1:17" x14ac:dyDescent="0.3">
      <c r="A23" s="6" t="s">
        <v>305</v>
      </c>
      <c r="B23" s="27">
        <f>CHOOSE(MATCH($B$21,{"Bear","Base","Bull"},0),$B$16,$C$16,$D$16)</f>
        <v>0</v>
      </c>
      <c r="C23" s="8"/>
      <c r="D23" s="8"/>
      <c r="E23" s="8"/>
      <c r="F23" s="8"/>
      <c r="G23" s="8"/>
      <c r="H23" s="8"/>
      <c r="I23" s="8"/>
      <c r="J23" s="8"/>
      <c r="K23" s="8"/>
      <c r="L23" s="6" t="s">
        <v>294</v>
      </c>
      <c r="M23" s="109">
        <v>6.0363961829404275E-2</v>
      </c>
      <c r="N23" s="8"/>
      <c r="O23" s="8"/>
      <c r="P23" s="8"/>
      <c r="Q23" s="8"/>
    </row>
    <row r="24" spans="1:17" x14ac:dyDescent="0.3">
      <c r="A24" s="6" t="s">
        <v>306</v>
      </c>
      <c r="B24" s="27">
        <f>CHOOSE(MATCH($B$21,{"Bear","Base","Bull"},0),$B$17,$C$17,$D$17)</f>
        <v>0</v>
      </c>
      <c r="C24" s="8"/>
      <c r="D24" s="8"/>
      <c r="E24" s="8"/>
      <c r="F24" s="8"/>
      <c r="G24" s="8"/>
      <c r="H24" s="8"/>
      <c r="I24" s="8"/>
      <c r="J24" s="8"/>
      <c r="K24" s="8"/>
      <c r="L24" s="6" t="s">
        <v>291</v>
      </c>
      <c r="M24" s="10" cm="1">
        <f t="array" ref="M24">(SUMPRODUCT(DCF!$B$45:$F$45,1/(1+$M$22)^DCF!$B$46:$F$46)+(DCF!$F$45*(1+$M$23)/($M$22-$M$23))/(1+$M$22)^DCF!$B$56+DCF!$B$61)/DCF!$B$63</f>
        <v>14.450901105692806</v>
      </c>
      <c r="N24" s="8"/>
      <c r="O24" s="8"/>
      <c r="P24" s="8"/>
      <c r="Q24" s="8"/>
    </row>
    <row r="25" spans="1:17" x14ac:dyDescent="0.3">
      <c r="A25" s="6" t="s">
        <v>307</v>
      </c>
      <c r="B25" s="27">
        <f>CHOOSE(MATCH($B$21,{"Bear","Base","Bull"},0),$B$18,$C$18,$D$18)</f>
        <v>0</v>
      </c>
      <c r="C25" s="8"/>
      <c r="D25" s="8"/>
      <c r="E25" s="8"/>
      <c r="F25" s="8"/>
      <c r="G25" s="8"/>
      <c r="H25" s="8"/>
      <c r="I25" s="8"/>
      <c r="J25" s="8"/>
      <c r="K25" s="8"/>
      <c r="L25" s="6" t="s">
        <v>295</v>
      </c>
      <c r="M25" s="31">
        <f>M23</f>
        <v>6.0363961829404275E-2</v>
      </c>
      <c r="N25" s="8"/>
      <c r="O25" s="8"/>
      <c r="P25" s="8"/>
      <c r="Q25" s="8"/>
    </row>
    <row r="26" spans="1:17" x14ac:dyDescent="0.3">
      <c r="A26" s="6" t="s">
        <v>308</v>
      </c>
      <c r="B26" s="27">
        <f>CHOOSE(MATCH($B$21,{"Bear","Base","Bull"},0),$B$19,$C$19,$D$19)</f>
        <v>2.5000000000000001E-2</v>
      </c>
      <c r="C26" s="8"/>
      <c r="D26" s="8"/>
      <c r="E26" s="8"/>
      <c r="F26" s="8"/>
      <c r="G26" s="8"/>
      <c r="H26" s="8"/>
      <c r="I26" s="8"/>
      <c r="J26" s="8"/>
      <c r="K26" s="8"/>
      <c r="L26" s="8"/>
      <c r="M26" s="8"/>
      <c r="N26" s="8"/>
      <c r="O26" s="8"/>
      <c r="P26" s="8"/>
      <c r="Q26" s="8"/>
    </row>
    <row r="27" spans="1:17" x14ac:dyDescent="0.3">
      <c r="A27" s="8"/>
      <c r="B27" s="8"/>
      <c r="C27" s="8"/>
      <c r="D27" s="8"/>
      <c r="E27" s="8"/>
      <c r="F27" s="8"/>
      <c r="G27" s="8"/>
      <c r="H27" s="8"/>
      <c r="I27" s="8"/>
      <c r="J27" s="8"/>
      <c r="K27" s="8"/>
      <c r="L27" s="8"/>
      <c r="M27" s="8"/>
      <c r="N27" s="8"/>
      <c r="O27" s="8"/>
      <c r="P27" s="8"/>
      <c r="Q27" s="8"/>
    </row>
    <row r="28" spans="1:17" x14ac:dyDescent="0.3">
      <c r="A28" s="8"/>
      <c r="B28" s="8"/>
      <c r="C28" s="8"/>
      <c r="D28" s="8"/>
      <c r="E28" s="8"/>
      <c r="F28" s="8"/>
      <c r="G28" s="8"/>
      <c r="H28" s="8"/>
      <c r="I28" s="8"/>
      <c r="J28" s="8"/>
      <c r="K28" s="8"/>
      <c r="L28" s="8"/>
      <c r="M28" s="8"/>
      <c r="N28" s="8"/>
      <c r="O28" s="8"/>
      <c r="P28" s="8"/>
      <c r="Q28" s="8"/>
    </row>
    <row r="29" spans="1:17" x14ac:dyDescent="0.3">
      <c r="A29" s="74" t="s">
        <v>309</v>
      </c>
      <c r="B29" s="75"/>
      <c r="C29" s="75"/>
      <c r="D29" s="75"/>
      <c r="E29" s="75"/>
      <c r="F29" s="75"/>
      <c r="G29" s="8"/>
      <c r="H29" s="8"/>
      <c r="I29" s="8"/>
      <c r="J29" s="8"/>
      <c r="K29" s="8"/>
      <c r="L29" s="74" t="s">
        <v>636</v>
      </c>
      <c r="M29" s="75"/>
      <c r="N29" s="75"/>
      <c r="O29" s="75"/>
      <c r="P29" s="75"/>
      <c r="Q29" s="75"/>
    </row>
    <row r="30" spans="1:17" x14ac:dyDescent="0.3">
      <c r="A30" s="8"/>
      <c r="B30" s="6" t="s">
        <v>10</v>
      </c>
      <c r="C30" s="6" t="s">
        <v>11</v>
      </c>
      <c r="D30" s="6" t="s">
        <v>12</v>
      </c>
      <c r="E30" s="6" t="s">
        <v>13</v>
      </c>
      <c r="F30" s="6" t="s">
        <v>14</v>
      </c>
      <c r="G30" s="8"/>
      <c r="H30" s="8"/>
      <c r="I30" s="8"/>
      <c r="J30" s="8"/>
      <c r="K30" s="8"/>
      <c r="L30" s="6" t="s">
        <v>289</v>
      </c>
      <c r="M30" s="110">
        <f>DCF!$B$65</f>
        <v>14.45</v>
      </c>
      <c r="N30" s="8"/>
      <c r="O30" s="8"/>
      <c r="P30" s="8"/>
      <c r="Q30" s="8"/>
    </row>
    <row r="31" spans="1:17" x14ac:dyDescent="0.3">
      <c r="A31" s="6" t="s">
        <v>310</v>
      </c>
      <c r="B31" s="11">
        <f>Forecast_Model!C9</f>
        <v>23684.54683480948</v>
      </c>
      <c r="C31" s="11">
        <f>Forecast_Model!D9</f>
        <v>26325.010676225676</v>
      </c>
      <c r="D31" s="11">
        <f>Forecast_Model!E9</f>
        <v>28811.767378259858</v>
      </c>
      <c r="E31" s="11">
        <f>Forecast_Model!F9</f>
        <v>31037.626045854115</v>
      </c>
      <c r="F31" s="11">
        <f>Forecast_Model!G9</f>
        <v>32905.411996171002</v>
      </c>
      <c r="G31" s="8"/>
      <c r="H31" s="8"/>
      <c r="I31" s="8"/>
      <c r="J31" s="8"/>
      <c r="K31" s="8"/>
      <c r="L31" s="6" t="s">
        <v>637</v>
      </c>
      <c r="M31" s="94">
        <v>0.18929165285397309</v>
      </c>
      <c r="N31" s="8"/>
      <c r="O31" s="8"/>
      <c r="P31" s="8"/>
      <c r="Q31" s="8"/>
    </row>
    <row r="32" spans="1:17" x14ac:dyDescent="0.3">
      <c r="A32" s="6" t="s">
        <v>311</v>
      </c>
      <c r="B32" s="45">
        <f>B31</f>
        <v>23684.54683480948</v>
      </c>
      <c r="C32" s="10">
        <f>B32*(1+(Forecast_Model!D10+$B$23))</f>
        <v>26325.010676225676</v>
      </c>
      <c r="D32" s="10">
        <f>C32*(1+(Forecast_Model!E10+$B$23))</f>
        <v>28811.767378259854</v>
      </c>
      <c r="E32" s="10">
        <f>D32*(1+(Forecast_Model!F10+$B$23))</f>
        <v>31037.626045854111</v>
      </c>
      <c r="F32" s="10">
        <f>E32*(1+(Forecast_Model!G10+$B$23))</f>
        <v>32905.411996170995</v>
      </c>
      <c r="G32" s="8"/>
      <c r="H32" s="8"/>
      <c r="I32" s="8"/>
      <c r="J32" s="8"/>
      <c r="K32" s="8"/>
      <c r="L32" s="8"/>
      <c r="M32" s="8"/>
      <c r="N32" s="8"/>
      <c r="O32" s="8"/>
      <c r="P32" s="8"/>
      <c r="Q32" s="8"/>
    </row>
    <row r="33" spans="1:17" x14ac:dyDescent="0.3">
      <c r="A33" s="8"/>
      <c r="B33" s="8"/>
      <c r="C33" s="8"/>
      <c r="D33" s="8"/>
      <c r="E33" s="8"/>
      <c r="F33" s="8"/>
      <c r="G33" s="8"/>
      <c r="H33" s="8"/>
      <c r="I33" s="8"/>
      <c r="J33" s="8"/>
      <c r="K33" s="8"/>
      <c r="L33" s="8"/>
      <c r="M33" s="61" t="s">
        <v>10</v>
      </c>
      <c r="N33" s="6" t="s">
        <v>11</v>
      </c>
      <c r="O33" s="6" t="s">
        <v>12</v>
      </c>
      <c r="P33" s="6" t="s">
        <v>13</v>
      </c>
      <c r="Q33" s="6" t="s">
        <v>14</v>
      </c>
    </row>
    <row r="34" spans="1:17" x14ac:dyDescent="0.3">
      <c r="A34" s="6" t="s">
        <v>312</v>
      </c>
      <c r="B34" s="9">
        <f>Forecast_Model!C18</f>
        <v>0.20594275195263603</v>
      </c>
      <c r="C34" s="9">
        <f>Forecast_Model!D18</f>
        <v>0.19063320495484964</v>
      </c>
      <c r="D34" s="9">
        <f>Forecast_Model!E18</f>
        <v>0.19129306369780588</v>
      </c>
      <c r="E34" s="9">
        <f>Forecast_Model!F18</f>
        <v>0.1915354653941346</v>
      </c>
      <c r="F34" s="9">
        <f>Forecast_Model!G18</f>
        <v>0.19137317784137434</v>
      </c>
      <c r="G34" s="8"/>
      <c r="H34" s="8"/>
      <c r="I34" s="8"/>
      <c r="J34" s="8"/>
      <c r="K34" s="8"/>
      <c r="L34" s="6" t="s">
        <v>19</v>
      </c>
      <c r="M34" s="11">
        <f>Forecast_Model!C9</f>
        <v>23684.54683480948</v>
      </c>
      <c r="N34" s="10">
        <f>M34*(1+Forecast_Model!D10+$M$31)</f>
        <v>30808.297693684097</v>
      </c>
      <c r="O34" s="10">
        <f>N34*(1+Forecast_Model!E10+$M$31)</f>
        <v>39550.315661708184</v>
      </c>
      <c r="P34" s="10">
        <f>O34*(1+Forecast_Model!F10+$M$31)</f>
        <v>50092.327578733151</v>
      </c>
      <c r="Q34" s="10">
        <f>P34*(1+Forecast_Model!G10+$M$31)</f>
        <v>62588.84910603075</v>
      </c>
    </row>
    <row r="35" spans="1:17" x14ac:dyDescent="0.3">
      <c r="A35" s="6" t="s">
        <v>313</v>
      </c>
      <c r="B35" s="31">
        <f>B34</f>
        <v>0.20594275195263603</v>
      </c>
      <c r="C35" s="31">
        <f>C34+$B$24</f>
        <v>0.19063320495484964</v>
      </c>
      <c r="D35" s="31">
        <f t="shared" ref="D35:F35" si="0">D34+$B$24</f>
        <v>0.19129306369780588</v>
      </c>
      <c r="E35" s="31">
        <f t="shared" si="0"/>
        <v>0.1915354653941346</v>
      </c>
      <c r="F35" s="31">
        <f t="shared" si="0"/>
        <v>0.19137317784137434</v>
      </c>
      <c r="G35" s="8"/>
      <c r="H35" s="8"/>
      <c r="I35" s="8"/>
      <c r="J35" s="8"/>
      <c r="K35" s="8"/>
      <c r="L35" s="38" t="s">
        <v>638</v>
      </c>
      <c r="M35" s="108">
        <f>Forecast_Model!C18</f>
        <v>0.20594275195263603</v>
      </c>
      <c r="N35" s="108">
        <f>Forecast_Model!D18</f>
        <v>0.19063320495484964</v>
      </c>
      <c r="O35" s="108">
        <f>Forecast_Model!E18</f>
        <v>0.19129306369780588</v>
      </c>
      <c r="P35" s="108">
        <f>Forecast_Model!F18</f>
        <v>0.1915354653941346</v>
      </c>
      <c r="Q35" s="108">
        <f>Forecast_Model!G18</f>
        <v>0.19137317784137434</v>
      </c>
    </row>
    <row r="36" spans="1:17" x14ac:dyDescent="0.3">
      <c r="A36" s="8"/>
      <c r="B36" s="8"/>
      <c r="C36" s="8"/>
      <c r="D36" s="8"/>
      <c r="E36" s="8"/>
      <c r="F36" s="8"/>
      <c r="G36" s="8"/>
      <c r="H36" s="8"/>
      <c r="I36" s="8"/>
      <c r="J36" s="8"/>
      <c r="K36" s="8"/>
      <c r="L36" s="6" t="s">
        <v>172</v>
      </c>
      <c r="M36" s="11">
        <f>Forecast_Model!C17</f>
        <v>4877.6607539117595</v>
      </c>
      <c r="N36" s="54">
        <f>N34*N35</f>
        <v>5873.0845285501018</v>
      </c>
      <c r="O36" s="54">
        <f t="shared" ref="O36:Q36" si="1">O34*O35</f>
        <v>7565.7010531434735</v>
      </c>
      <c r="P36" s="54">
        <f t="shared" si="1"/>
        <v>9594.4572754680976</v>
      </c>
      <c r="Q36" s="54">
        <f t="shared" si="1"/>
        <v>11977.826950855366</v>
      </c>
    </row>
    <row r="37" spans="1:17" x14ac:dyDescent="0.3">
      <c r="A37" s="6" t="s">
        <v>314</v>
      </c>
      <c r="B37" s="54">
        <f>B32*B35</f>
        <v>4877.6607539117595</v>
      </c>
      <c r="C37" s="54">
        <f t="shared" ref="C37:F37" si="2">C32*C35</f>
        <v>5018.4211556795344</v>
      </c>
      <c r="D37" s="54">
        <f t="shared" si="2"/>
        <v>5511.491252335828</v>
      </c>
      <c r="E37" s="54">
        <f t="shared" si="2"/>
        <v>5944.8061494217809</v>
      </c>
      <c r="F37" s="54">
        <f t="shared" si="2"/>
        <v>6297.2132618869246</v>
      </c>
      <c r="G37" s="8"/>
      <c r="H37" s="8"/>
      <c r="I37" s="8"/>
      <c r="J37" s="8"/>
      <c r="K37" s="8"/>
      <c r="L37" s="6" t="s">
        <v>639</v>
      </c>
      <c r="M37" s="11">
        <f>Forecast_Model!C28</f>
        <v>4006.9847132683567</v>
      </c>
      <c r="N37" s="10">
        <f>N34*(N35*(1-Operating_Drivers!$S$57)+Operating_Drivers!$S$54-Operating_Drivers!$S$55+Operating_Drivers!$S$56)</f>
        <v>4858.4450220824174</v>
      </c>
      <c r="O37" s="10">
        <f>O34*(O35*(1-Operating_Drivers!$S$57)+Operating_Drivers!$S$54-Operating_Drivers!$S$55+Operating_Drivers!$S$56)</f>
        <v>6256.627796701986</v>
      </c>
      <c r="P37" s="10">
        <f>P34*(P35*(1-Operating_Drivers!$S$57)+Operating_Drivers!$S$54-Operating_Drivers!$S$55+Operating_Drivers!$S$56)</f>
        <v>7933.419054412715</v>
      </c>
      <c r="Q37" s="10">
        <f>Q34*(Q35*(1-Operating_Drivers!$S$57)+Operating_Drivers!$S$54-Operating_Drivers!$S$55+Operating_Drivers!$S$56)</f>
        <v>9904.9492517196177</v>
      </c>
    </row>
    <row r="38" spans="1:17" x14ac:dyDescent="0.3">
      <c r="A38" s="8"/>
      <c r="B38" s="8"/>
      <c r="C38" s="8"/>
      <c r="D38" s="8"/>
      <c r="E38" s="8"/>
      <c r="F38" s="8"/>
      <c r="G38" s="8"/>
      <c r="H38" s="8"/>
      <c r="I38" s="8"/>
      <c r="J38" s="8"/>
      <c r="K38" s="8"/>
      <c r="L38" s="8"/>
      <c r="M38" s="8"/>
      <c r="N38" s="8"/>
      <c r="O38" s="8"/>
      <c r="P38" s="8"/>
      <c r="Q38" s="8"/>
    </row>
    <row r="39" spans="1:17" x14ac:dyDescent="0.3">
      <c r="A39" s="6" t="s">
        <v>315</v>
      </c>
      <c r="B39" s="10">
        <f>B37*(1-Operating_Drivers!$S$57)</f>
        <v>3658.2455654338196</v>
      </c>
      <c r="C39" s="10">
        <f>C37*(1-Operating_Drivers!$S$57)</f>
        <v>3763.8158667596508</v>
      </c>
      <c r="D39" s="10">
        <f>D37*(1-Operating_Drivers!$S$57)</f>
        <v>4133.6184392518708</v>
      </c>
      <c r="E39" s="10">
        <f>E37*(1-Operating_Drivers!$S$57)</f>
        <v>4458.6046120663359</v>
      </c>
      <c r="F39" s="10">
        <f>F37*(1-Operating_Drivers!$S$57)</f>
        <v>4722.9099464151932</v>
      </c>
      <c r="G39" s="8"/>
      <c r="H39" s="8"/>
      <c r="I39" s="8"/>
      <c r="J39" s="8"/>
      <c r="K39" s="8"/>
      <c r="L39" s="6" t="s">
        <v>640</v>
      </c>
      <c r="M39" s="11">
        <f>((M37-DCF!$B$38)/(1+DCF!$B$26)^0.25+N37/(1+DCF!$B$26)^1+O37/(1+DCF!$B$26)^2+P37/(1+DCF!$B$26)^3+Q37/(1+DCF!$B$26)^4+(Q37*(1+DCF!$B$27)/(DCF!$B$26-DCF!$B$27))/(1+DCF!$B$26)^4.5+DCF!$B$61)/DCF!$B$63</f>
        <v>14.450003084065566</v>
      </c>
      <c r="N39" s="8"/>
      <c r="O39" s="8"/>
      <c r="P39" s="8"/>
      <c r="Q39" s="8"/>
    </row>
    <row r="40" spans="1:17" x14ac:dyDescent="0.3">
      <c r="A40" s="6" t="s">
        <v>166</v>
      </c>
      <c r="B40" s="10">
        <f>B32*Operating_Drivers!$S$54</f>
        <v>1131.9429880150428</v>
      </c>
      <c r="C40" s="10">
        <f>C32*Operating_Drivers!$S$54</f>
        <v>1258.1372762673971</v>
      </c>
      <c r="D40" s="10">
        <f>D32*Operating_Drivers!$S$54</f>
        <v>1376.9855207113208</v>
      </c>
      <c r="E40" s="10">
        <f>E32*Operating_Drivers!$S$54</f>
        <v>1483.364803737873</v>
      </c>
      <c r="F40" s="10">
        <f>F32*Operating_Drivers!$S$54</f>
        <v>1572.6309072576119</v>
      </c>
      <c r="G40" s="8"/>
      <c r="H40" s="8"/>
      <c r="I40" s="8"/>
      <c r="J40" s="8"/>
      <c r="K40" s="8"/>
      <c r="L40" s="6" t="s">
        <v>641</v>
      </c>
      <c r="M40" s="31">
        <f>M31</f>
        <v>0.18929165285397309</v>
      </c>
      <c r="N40" s="8"/>
      <c r="O40" s="8"/>
      <c r="P40" s="8"/>
      <c r="Q40" s="8"/>
    </row>
    <row r="41" spans="1:17" x14ac:dyDescent="0.3">
      <c r="A41" s="6" t="s">
        <v>28</v>
      </c>
      <c r="B41" s="10">
        <f>-B32*Operating_Drivers!$S$55</f>
        <v>-1154.7677752850925</v>
      </c>
      <c r="C41" s="10">
        <f>-C32*Operating_Drivers!$S$55</f>
        <v>-1283.5066773691965</v>
      </c>
      <c r="D41" s="10">
        <f>-D32*Operating_Drivers!$S$55</f>
        <v>-1404.7514081428853</v>
      </c>
      <c r="E41" s="10">
        <f>-E32*Operating_Drivers!$S$55</f>
        <v>-1513.2757501792373</v>
      </c>
      <c r="F41" s="10">
        <f>-F32*Operating_Drivers!$S$55</f>
        <v>-1604.3418381901008</v>
      </c>
      <c r="G41" s="8"/>
      <c r="H41" s="8"/>
      <c r="I41" s="8"/>
      <c r="J41" s="8"/>
      <c r="K41" s="8"/>
      <c r="L41" s="6" t="s">
        <v>642</v>
      </c>
      <c r="M41" s="9">
        <f>AVERAGE(Forecast_Model!D10:G10)+M31</f>
        <v>0.27513706151141187</v>
      </c>
      <c r="N41" s="8"/>
      <c r="O41" s="8"/>
      <c r="P41" s="8"/>
      <c r="Q41" s="8"/>
    </row>
    <row r="42" spans="1:17" x14ac:dyDescent="0.3">
      <c r="A42" s="6" t="s">
        <v>84</v>
      </c>
      <c r="B42" s="10">
        <f>B32*Operating_Drivers!$S$56</f>
        <v>371.56393510458622</v>
      </c>
      <c r="C42" s="10">
        <f>C32*Operating_Drivers!$S$56</f>
        <v>412.98761706315497</v>
      </c>
      <c r="D42" s="10">
        <f>D32*Operating_Drivers!$S$56</f>
        <v>451.99993645858132</v>
      </c>
      <c r="E42" s="10">
        <f>E32*Operating_Drivers!$S$56</f>
        <v>486.91927906987627</v>
      </c>
      <c r="F42" s="10">
        <f>F32*Operating_Drivers!$S$56</f>
        <v>516.22116533661358</v>
      </c>
      <c r="G42" s="8"/>
      <c r="H42" s="8"/>
      <c r="I42" s="8"/>
      <c r="J42" s="8"/>
      <c r="K42" s="8"/>
      <c r="L42" s="8"/>
      <c r="M42" s="8"/>
      <c r="N42" s="8"/>
      <c r="O42" s="8"/>
      <c r="P42" s="8"/>
      <c r="Q42" s="8"/>
    </row>
    <row r="43" spans="1:17" x14ac:dyDescent="0.3">
      <c r="A43" s="6" t="s">
        <v>316</v>
      </c>
      <c r="B43" s="54">
        <f>SUM(B39:B42)</f>
        <v>4006.9847132683567</v>
      </c>
      <c r="C43" s="54">
        <f t="shared" ref="C43:F43" si="3">SUM(C39:C42)</f>
        <v>4151.4340827210062</v>
      </c>
      <c r="D43" s="54">
        <f t="shared" si="3"/>
        <v>4557.852488278887</v>
      </c>
      <c r="E43" s="54">
        <f t="shared" si="3"/>
        <v>4915.612944694848</v>
      </c>
      <c r="F43" s="54">
        <f t="shared" si="3"/>
        <v>5207.4201808193175</v>
      </c>
      <c r="G43" s="8"/>
      <c r="H43" s="8"/>
      <c r="I43" s="8"/>
      <c r="J43" s="8"/>
      <c r="K43" s="8"/>
      <c r="L43" s="8"/>
      <c r="M43" s="8"/>
      <c r="N43" s="8"/>
      <c r="O43" s="8"/>
      <c r="P43" s="8"/>
      <c r="Q43" s="8"/>
    </row>
    <row r="44" spans="1:17" x14ac:dyDescent="0.3">
      <c r="A44" s="8"/>
      <c r="B44" s="8"/>
      <c r="C44" s="8"/>
      <c r="D44" s="8"/>
      <c r="E44" s="8"/>
      <c r="F44" s="8"/>
      <c r="G44" s="8"/>
      <c r="H44" s="8"/>
      <c r="I44" s="8"/>
      <c r="J44" s="8"/>
      <c r="K44" s="8"/>
      <c r="L44" s="74" t="s">
        <v>643</v>
      </c>
      <c r="M44" s="75"/>
      <c r="N44" s="75"/>
      <c r="O44" s="75"/>
      <c r="P44" s="75"/>
      <c r="Q44" s="75"/>
    </row>
    <row r="45" spans="1:17" x14ac:dyDescent="0.3">
      <c r="A45" s="6" t="s">
        <v>317</v>
      </c>
      <c r="B45" s="9">
        <f>DCF!$B$26+$B$25</f>
        <v>9.619399091951196E-2</v>
      </c>
      <c r="C45" s="7"/>
      <c r="D45" s="7"/>
      <c r="E45" s="7"/>
      <c r="F45" s="7"/>
      <c r="G45" s="8"/>
      <c r="H45" s="8"/>
      <c r="I45" s="8"/>
      <c r="J45" s="8"/>
      <c r="K45" s="8"/>
      <c r="L45" s="6" t="s">
        <v>289</v>
      </c>
      <c r="M45" s="110">
        <f>DCF!$B$65</f>
        <v>14.45</v>
      </c>
      <c r="N45" s="8"/>
      <c r="O45" s="8"/>
      <c r="P45" s="8"/>
      <c r="Q45" s="8"/>
    </row>
    <row r="46" spans="1:17" x14ac:dyDescent="0.3">
      <c r="A46" s="6" t="s">
        <v>318</v>
      </c>
      <c r="B46" s="31">
        <f>$B$26</f>
        <v>2.5000000000000001E-2</v>
      </c>
      <c r="C46" s="8"/>
      <c r="D46" s="8"/>
      <c r="E46" s="8"/>
      <c r="F46" s="8"/>
      <c r="G46" s="8"/>
      <c r="H46" s="8"/>
      <c r="I46" s="8"/>
      <c r="J46" s="8"/>
      <c r="K46" s="8"/>
      <c r="L46" s="6" t="s">
        <v>644</v>
      </c>
      <c r="M46" s="94">
        <v>0.17116329078838946</v>
      </c>
      <c r="N46" s="8"/>
      <c r="O46" s="8"/>
      <c r="P46" s="8"/>
      <c r="Q46" s="8"/>
    </row>
    <row r="47" spans="1:17" x14ac:dyDescent="0.3">
      <c r="A47" s="8"/>
      <c r="B47" s="8"/>
      <c r="C47" s="8"/>
      <c r="D47" s="8"/>
      <c r="E47" s="8"/>
      <c r="F47" s="8"/>
      <c r="G47" s="8"/>
      <c r="H47" s="8"/>
      <c r="I47" s="8"/>
      <c r="J47" s="8"/>
      <c r="K47" s="8"/>
      <c r="L47" s="8"/>
      <c r="M47" s="8"/>
      <c r="N47" s="8"/>
      <c r="O47" s="8"/>
      <c r="P47" s="8"/>
      <c r="Q47" s="8"/>
    </row>
    <row r="48" spans="1:17" x14ac:dyDescent="0.3">
      <c r="A48" s="8"/>
      <c r="B48" s="8"/>
      <c r="C48" s="8"/>
      <c r="D48" s="8"/>
      <c r="E48" s="8"/>
      <c r="F48" s="8"/>
      <c r="G48" s="8"/>
      <c r="H48" s="8"/>
      <c r="I48" s="8"/>
      <c r="J48" s="8"/>
      <c r="K48" s="8"/>
      <c r="L48" s="8"/>
      <c r="M48" s="61" t="s">
        <v>10</v>
      </c>
      <c r="N48" s="6" t="s">
        <v>11</v>
      </c>
      <c r="O48" s="6" t="s">
        <v>12</v>
      </c>
      <c r="P48" s="6" t="s">
        <v>13</v>
      </c>
      <c r="Q48" s="6" t="s">
        <v>14</v>
      </c>
    </row>
    <row r="49" spans="1:17" x14ac:dyDescent="0.3">
      <c r="A49" s="74" t="s">
        <v>319</v>
      </c>
      <c r="B49" s="75"/>
      <c r="C49" s="75"/>
      <c r="D49" s="75"/>
      <c r="E49" s="8"/>
      <c r="F49" s="8"/>
      <c r="G49" s="8"/>
      <c r="H49" s="8"/>
      <c r="I49" s="8"/>
      <c r="J49" s="8"/>
      <c r="K49" s="8"/>
      <c r="L49" s="6" t="s">
        <v>19</v>
      </c>
      <c r="M49" s="11">
        <f>Forecast_Model!C9</f>
        <v>23684.54683480948</v>
      </c>
      <c r="N49" s="11">
        <f>Forecast_Model!D9</f>
        <v>26325.010676225676</v>
      </c>
      <c r="O49" s="11">
        <f>Forecast_Model!E9</f>
        <v>28811.767378259858</v>
      </c>
      <c r="P49" s="11">
        <f>Forecast_Model!F9</f>
        <v>31037.626045854115</v>
      </c>
      <c r="Q49" s="11">
        <f>Forecast_Model!G9</f>
        <v>32905.411996171002</v>
      </c>
    </row>
    <row r="50" spans="1:17" x14ac:dyDescent="0.3">
      <c r="A50" s="6" t="s">
        <v>102</v>
      </c>
      <c r="B50" s="6" t="s">
        <v>298</v>
      </c>
      <c r="C50" s="6" t="s">
        <v>299</v>
      </c>
      <c r="D50" s="6" t="s">
        <v>300</v>
      </c>
      <c r="E50" s="8"/>
      <c r="F50" s="8"/>
      <c r="G50" s="8"/>
      <c r="H50" s="8"/>
      <c r="I50" s="8"/>
      <c r="J50" s="8"/>
      <c r="K50" s="8"/>
      <c r="L50" s="6" t="s">
        <v>638</v>
      </c>
      <c r="M50" s="13">
        <f>Forecast_Model!C18</f>
        <v>0.20594275195263603</v>
      </c>
      <c r="N50" s="9">
        <f>Forecast_Model!D18+$M$46</f>
        <v>0.36179649574323913</v>
      </c>
      <c r="O50" s="9">
        <f>Forecast_Model!E18+$M$46</f>
        <v>0.36245635448619534</v>
      </c>
      <c r="P50" s="9">
        <f>Forecast_Model!F18+$M$46</f>
        <v>0.36269875618252406</v>
      </c>
      <c r="Q50" s="9">
        <f>Forecast_Model!G18+$M$46</f>
        <v>0.3625364686297638</v>
      </c>
    </row>
    <row r="51" spans="1:17" x14ac:dyDescent="0.3">
      <c r="A51" s="6" t="s">
        <v>301</v>
      </c>
      <c r="B51" s="31">
        <f>B16</f>
        <v>-0.02</v>
      </c>
      <c r="C51" s="31">
        <f t="shared" ref="C51:D51" si="4">C16</f>
        <v>0</v>
      </c>
      <c r="D51" s="31">
        <f t="shared" si="4"/>
        <v>0.02</v>
      </c>
      <c r="E51" s="8"/>
      <c r="F51" s="8"/>
      <c r="G51" s="8"/>
      <c r="H51" s="8"/>
      <c r="I51" s="8"/>
      <c r="J51" s="8"/>
      <c r="K51" s="8"/>
      <c r="L51" s="6" t="s">
        <v>172</v>
      </c>
      <c r="M51" s="54">
        <f>N49*N50</f>
        <v>9524.2966130618079</v>
      </c>
      <c r="N51" s="54">
        <f>N49*N50</f>
        <v>9524.2966130618079</v>
      </c>
      <c r="O51" s="54">
        <f t="shared" ref="O51:Q51" si="5">O49*O50</f>
        <v>10443.008170228353</v>
      </c>
      <c r="P51" s="54">
        <f t="shared" si="5"/>
        <v>11257.3083616896</v>
      </c>
      <c r="Q51" s="54">
        <f t="shared" si="5"/>
        <v>11929.411863899302</v>
      </c>
    </row>
    <row r="52" spans="1:17" x14ac:dyDescent="0.3">
      <c r="A52" s="6" t="s">
        <v>302</v>
      </c>
      <c r="B52" s="31">
        <f>B17</f>
        <v>-0.01</v>
      </c>
      <c r="C52" s="31">
        <f t="shared" ref="C52:D52" si="6">C17</f>
        <v>0</v>
      </c>
      <c r="D52" s="31">
        <f t="shared" si="6"/>
        <v>0.01</v>
      </c>
      <c r="E52" s="8"/>
      <c r="F52" s="8"/>
      <c r="G52" s="8"/>
      <c r="H52" s="8"/>
      <c r="I52" s="8"/>
      <c r="J52" s="8"/>
      <c r="K52" s="8"/>
      <c r="L52" s="6" t="s">
        <v>639</v>
      </c>
      <c r="M52" s="11">
        <f>Forecast_Model!C28</f>
        <v>4006.9847132683567</v>
      </c>
      <c r="N52" s="10">
        <f>N49*(N50*(1-Operating_Drivers!$S$57)+Operating_Drivers!$S$54-Operating_Drivers!$S$55+Operating_Drivers!$S$56)</f>
        <v>7530.8406757577104</v>
      </c>
      <c r="O52" s="10">
        <f>O49*(O50*(1-Operating_Drivers!$S$57)+Operating_Drivers!$S$54-Operating_Drivers!$S$55+Operating_Drivers!$S$56)</f>
        <v>8256.4901766982803</v>
      </c>
      <c r="P52" s="10">
        <f>P49*(P50*(1-Operating_Drivers!$S$57)+Operating_Drivers!$S$54-Operating_Drivers!$S$55+Operating_Drivers!$S$56)</f>
        <v>8899.9896038957104</v>
      </c>
      <c r="Q52" s="10">
        <f>Q49*(Q50*(1-Operating_Drivers!$S$57)+Operating_Drivers!$S$54-Operating_Drivers!$S$55+Operating_Drivers!$S$56)</f>
        <v>9431.5691323285992</v>
      </c>
    </row>
    <row r="53" spans="1:17" x14ac:dyDescent="0.3">
      <c r="A53" s="6" t="s">
        <v>236</v>
      </c>
      <c r="B53" s="9">
        <f>DCF!$B$26+B$18</f>
        <v>0.10119399091951196</v>
      </c>
      <c r="C53" s="9">
        <f>DCF!$B$26+C$18</f>
        <v>9.619399091951196E-2</v>
      </c>
      <c r="D53" s="9">
        <f>DCF!$B$26+D$18</f>
        <v>9.1193990919511955E-2</v>
      </c>
      <c r="E53" s="8"/>
      <c r="F53" s="8"/>
      <c r="G53" s="8"/>
      <c r="H53" s="8"/>
      <c r="I53" s="8"/>
      <c r="J53" s="8"/>
      <c r="K53" s="8"/>
      <c r="L53" s="8"/>
      <c r="M53" s="8"/>
      <c r="N53" s="8"/>
      <c r="O53" s="8"/>
      <c r="P53" s="8"/>
      <c r="Q53" s="8"/>
    </row>
    <row r="54" spans="1:17" x14ac:dyDescent="0.3">
      <c r="A54" s="6" t="s">
        <v>266</v>
      </c>
      <c r="B54" s="31">
        <f>B19</f>
        <v>0.02</v>
      </c>
      <c r="C54" s="31">
        <f t="shared" ref="C54:D54" si="7">C19</f>
        <v>2.5000000000000001E-2</v>
      </c>
      <c r="D54" s="31">
        <f t="shared" si="7"/>
        <v>0.03</v>
      </c>
      <c r="E54" s="8"/>
      <c r="F54" s="8"/>
      <c r="G54" s="8"/>
      <c r="H54" s="8"/>
      <c r="I54" s="8"/>
      <c r="J54" s="8"/>
      <c r="K54" s="8"/>
      <c r="L54" s="6" t="s">
        <v>640</v>
      </c>
      <c r="M54" s="110">
        <f>((M52-DCF!$B$38)/(1+DCF!$B$26)^0.25+N52/(1+DCF!$B$26)^1+O52/(1+DCF!$B$26)^2+P52/(1+DCF!$B$26)^3+Q52/(1+DCF!$B$26)^4+(Q52*(1+DCF!$B$27)/(DCF!$B$26-DCF!$B$27))/(1+DCF!$B$26)^4.5+DCF!$B$61)/DCF!$B$63</f>
        <v>14.450000000000001</v>
      </c>
      <c r="N54" s="8"/>
      <c r="O54" s="8"/>
      <c r="P54" s="8"/>
      <c r="Q54" s="8"/>
    </row>
    <row r="55" spans="1:17" x14ac:dyDescent="0.3">
      <c r="A55" s="8"/>
      <c r="B55" s="8"/>
      <c r="C55" s="8"/>
      <c r="D55" s="8"/>
      <c r="E55" s="8"/>
      <c r="F55" s="8"/>
      <c r="G55" s="8"/>
      <c r="H55" s="8"/>
      <c r="I55" s="8"/>
      <c r="J55" s="8"/>
      <c r="K55" s="8"/>
      <c r="L55" s="6" t="s">
        <v>645</v>
      </c>
      <c r="M55" s="31">
        <f>M46</f>
        <v>0.17116329078838946</v>
      </c>
      <c r="N55" s="8"/>
      <c r="O55" s="8"/>
      <c r="P55" s="8"/>
      <c r="Q55" s="8"/>
    </row>
    <row r="56" spans="1:17" x14ac:dyDescent="0.3">
      <c r="A56" s="6" t="s">
        <v>320</v>
      </c>
      <c r="B56" s="11">
        <f>Forecast_Model!$C$9</f>
        <v>23684.54683480948</v>
      </c>
      <c r="C56" s="11">
        <f>Forecast_Model!$C$9</f>
        <v>23684.54683480948</v>
      </c>
      <c r="D56" s="11">
        <f>Forecast_Model!$C$9</f>
        <v>23684.54683480948</v>
      </c>
      <c r="E56" s="8"/>
      <c r="F56" s="8"/>
      <c r="G56" s="8"/>
      <c r="H56" s="8"/>
      <c r="I56" s="8"/>
      <c r="J56" s="8"/>
      <c r="K56" s="8"/>
      <c r="L56" s="6" t="s">
        <v>646</v>
      </c>
      <c r="M56" s="9">
        <f>Forecast_Model!G18+M46</f>
        <v>0.3625364686297638</v>
      </c>
      <c r="N56" s="8"/>
      <c r="O56" s="8"/>
      <c r="P56" s="8"/>
      <c r="Q56" s="8"/>
    </row>
    <row r="57" spans="1:17" x14ac:dyDescent="0.3">
      <c r="A57" s="6" t="s">
        <v>321</v>
      </c>
      <c r="B57" s="10">
        <f>B56*(1+Forecast_Model!$D$10+B$51)</f>
        <v>25851.319739529488</v>
      </c>
      <c r="C57" s="10">
        <f>C56*(1+Forecast_Model!$D$10+C$51)</f>
        <v>26325.010676225676</v>
      </c>
      <c r="D57" s="10">
        <f>D56*(1+Forecast_Model!$D$10+D$51)</f>
        <v>26798.701612921868</v>
      </c>
      <c r="E57" s="8"/>
      <c r="F57" s="8"/>
      <c r="G57" s="8"/>
      <c r="H57" s="8"/>
      <c r="I57" s="8"/>
      <c r="J57" s="8"/>
      <c r="K57" s="8"/>
      <c r="L57" s="8"/>
      <c r="M57" s="8"/>
      <c r="N57" s="8"/>
      <c r="O57" s="8"/>
      <c r="P57" s="8"/>
      <c r="Q57" s="8"/>
    </row>
    <row r="58" spans="1:17" x14ac:dyDescent="0.3">
      <c r="A58" s="6" t="s">
        <v>322</v>
      </c>
      <c r="B58" s="10">
        <f>B57*(1+Forecast_Model!$E$10+B$51)</f>
        <v>27776.303469990646</v>
      </c>
      <c r="C58" s="10">
        <f>C57*(1+Forecast_Model!$E$10+C$51)</f>
        <v>28811.767378259854</v>
      </c>
      <c r="D58" s="10">
        <f>D57*(1+Forecast_Model!$E$10+D$51)</f>
        <v>29866.178923996918</v>
      </c>
      <c r="E58" s="8"/>
      <c r="F58" s="8"/>
      <c r="G58" s="8"/>
      <c r="H58" s="8"/>
      <c r="I58" s="8"/>
      <c r="J58" s="8"/>
      <c r="K58" s="8"/>
      <c r="L58" s="8"/>
      <c r="M58" s="8"/>
      <c r="N58" s="8"/>
      <c r="O58" s="8"/>
      <c r="P58" s="8"/>
      <c r="Q58" s="8"/>
    </row>
    <row r="59" spans="1:17" x14ac:dyDescent="0.3">
      <c r="A59" s="6" t="s">
        <v>323</v>
      </c>
      <c r="B59" s="10">
        <f>B58*(1+Forecast_Model!$F$10+B$51)</f>
        <v>29366.641103456157</v>
      </c>
      <c r="C59" s="10">
        <f>C58*(1+Forecast_Model!$F$10+C$51)</f>
        <v>31037.626045854111</v>
      </c>
      <c r="D59" s="10">
        <f>D58*(1+Forecast_Model!$F$10+D$51)</f>
        <v>32770.819938201428</v>
      </c>
      <c r="E59" s="8"/>
      <c r="F59" s="8"/>
      <c r="G59" s="8"/>
      <c r="H59" s="8"/>
      <c r="I59" s="8"/>
      <c r="J59" s="8"/>
      <c r="K59" s="8"/>
      <c r="L59" s="8"/>
      <c r="M59" s="8"/>
      <c r="N59" s="8"/>
      <c r="O59" s="8"/>
      <c r="P59" s="8"/>
      <c r="Q59" s="8"/>
    </row>
    <row r="60" spans="1:17" x14ac:dyDescent="0.3">
      <c r="A60" s="6" t="s">
        <v>324</v>
      </c>
      <c r="B60" s="10">
        <f>B59*(1+Forecast_Model!$G$10+B$51)</f>
        <v>30546.537501173334</v>
      </c>
      <c r="C60" s="10">
        <f>C59*(1+Forecast_Model!$G$10+C$51)</f>
        <v>32905.411996170995</v>
      </c>
      <c r="D60" s="10">
        <f>D59*(1+Forecast_Model!$G$10+D$51)</f>
        <v>35398.322635399134</v>
      </c>
      <c r="E60" s="8"/>
      <c r="F60" s="8"/>
      <c r="G60" s="8"/>
      <c r="H60" s="8"/>
      <c r="I60" s="8"/>
      <c r="J60" s="8"/>
      <c r="K60" s="8"/>
      <c r="L60" s="8"/>
      <c r="M60" s="8"/>
      <c r="N60" s="8"/>
      <c r="O60" s="8"/>
      <c r="P60" s="8"/>
      <c r="Q60" s="8"/>
    </row>
    <row r="61" spans="1:17" x14ac:dyDescent="0.3">
      <c r="A61" s="8"/>
      <c r="B61" s="8"/>
      <c r="C61" s="8"/>
      <c r="D61" s="8"/>
      <c r="E61" s="8"/>
      <c r="F61" s="8"/>
      <c r="G61" s="8"/>
      <c r="H61" s="8"/>
      <c r="I61" s="8"/>
      <c r="J61" s="8"/>
      <c r="K61" s="8"/>
      <c r="L61" s="8"/>
      <c r="M61" s="8"/>
      <c r="N61" s="8"/>
      <c r="O61" s="8"/>
      <c r="P61" s="8"/>
      <c r="Q61" s="8"/>
    </row>
    <row r="62" spans="1:17" x14ac:dyDescent="0.3">
      <c r="A62" s="6" t="s">
        <v>325</v>
      </c>
      <c r="B62" s="11">
        <f>Forecast_Model!$C$28</f>
        <v>4006.9847132683567</v>
      </c>
      <c r="C62" s="11">
        <f>Forecast_Model!$C$28</f>
        <v>4006.9847132683567</v>
      </c>
      <c r="D62" s="11">
        <f>Forecast_Model!$C$28</f>
        <v>4006.9847132683567</v>
      </c>
      <c r="E62" s="8"/>
      <c r="F62" s="8"/>
      <c r="G62" s="8"/>
      <c r="H62" s="8"/>
      <c r="I62" s="8"/>
      <c r="J62" s="8"/>
      <c r="K62" s="8"/>
      <c r="L62" s="8"/>
      <c r="M62" s="8"/>
      <c r="N62" s="8"/>
      <c r="O62" s="8"/>
      <c r="P62" s="8"/>
      <c r="Q62" s="8"/>
    </row>
    <row r="63" spans="1:17" x14ac:dyDescent="0.3">
      <c r="A63" s="6" t="s">
        <v>326</v>
      </c>
      <c r="B63" s="10">
        <f>B57*((Forecast_Model!$D$18+B$52)*(1-Operating_Drivers!$S$57)+Operating_Drivers!$S$54-Operating_Drivers!$S$55+Operating_Drivers!$S$56)</f>
        <v>3882.8484856524997</v>
      </c>
      <c r="C63" s="10">
        <f>C57*((Forecast_Model!$D$18+C$52)*(1-Operating_Drivers!$S$57)+Operating_Drivers!$S$54-Operating_Drivers!$S$55+Operating_Drivers!$S$56)</f>
        <v>4151.4340827210062</v>
      </c>
      <c r="D63" s="10">
        <f>D57*((Forecast_Model!$D$18+D$52)*(1-Operating_Drivers!$S$57)+Operating_Drivers!$S$54-Operating_Drivers!$S$55+Operating_Drivers!$S$56)</f>
        <v>4427.1250438399557</v>
      </c>
      <c r="E63" s="8"/>
      <c r="F63" s="8"/>
      <c r="G63" s="8"/>
      <c r="H63" s="8"/>
      <c r="I63" s="8"/>
      <c r="J63" s="8"/>
      <c r="K63" s="8"/>
      <c r="L63" s="8"/>
      <c r="M63" s="8"/>
      <c r="N63" s="8"/>
      <c r="O63" s="8"/>
      <c r="P63" s="8"/>
      <c r="Q63" s="8"/>
    </row>
    <row r="64" spans="1:17" x14ac:dyDescent="0.3">
      <c r="A64" s="6" t="s">
        <v>327</v>
      </c>
      <c r="B64" s="10">
        <f>B58*((Forecast_Model!$E$18+B$52)*(1-Operating_Drivers!$S$57)+Operating_Drivers!$S$54-Operating_Drivers!$S$55+Operating_Drivers!$S$56)</f>
        <v>4185.725899631715</v>
      </c>
      <c r="C64" s="10">
        <f>C58*((Forecast_Model!$E$18+C$52)*(1-Operating_Drivers!$S$57)+Operating_Drivers!$S$54-Operating_Drivers!$S$55+Operating_Drivers!$S$56)</f>
        <v>4557.852488278887</v>
      </c>
      <c r="D64" s="10">
        <f>D58*((Forecast_Model!$E$18+D$52)*(1-Operating_Drivers!$S$57)+Operating_Drivers!$S$54-Operating_Drivers!$S$55+Operating_Drivers!$S$56)</f>
        <v>4948.6505478651707</v>
      </c>
      <c r="E64" s="8"/>
      <c r="F64" s="8"/>
      <c r="G64" s="8"/>
      <c r="H64" s="8"/>
      <c r="I64" s="8"/>
      <c r="J64" s="8"/>
      <c r="K64" s="8"/>
      <c r="L64" s="8"/>
      <c r="M64" s="8"/>
      <c r="N64" s="8"/>
      <c r="O64" s="8"/>
      <c r="P64" s="8"/>
      <c r="Q64" s="8"/>
    </row>
    <row r="65" spans="1:17" x14ac:dyDescent="0.3">
      <c r="A65" s="6" t="s">
        <v>328</v>
      </c>
      <c r="B65" s="10">
        <f>B59*((Forecast_Model!$F$18+B$52)*(1-Operating_Drivers!$S$57)+Operating_Drivers!$S$54-Operating_Drivers!$S$55+Operating_Drivers!$S$56)</f>
        <v>4430.71933920626</v>
      </c>
      <c r="C65" s="10">
        <f>C59*((Forecast_Model!$F$18+C$52)*(1-Operating_Drivers!$S$57)+Operating_Drivers!$S$54-Operating_Drivers!$S$55+Operating_Drivers!$S$56)</f>
        <v>4915.6129446948471</v>
      </c>
      <c r="D65" s="10">
        <f>D59*((Forecast_Model!$F$18+D$52)*(1-Operating_Drivers!$S$57)+Operating_Drivers!$S$54-Operating_Drivers!$S$55+Operating_Drivers!$S$56)</f>
        <v>5435.8902918561935</v>
      </c>
      <c r="E65" s="8"/>
      <c r="F65" s="8"/>
      <c r="G65" s="8"/>
      <c r="H65" s="8"/>
      <c r="I65" s="8"/>
      <c r="J65" s="8"/>
      <c r="K65" s="8"/>
      <c r="L65" s="8"/>
      <c r="M65" s="8"/>
      <c r="N65" s="8"/>
      <c r="O65" s="8"/>
      <c r="P65" s="8"/>
      <c r="Q65" s="8"/>
    </row>
    <row r="66" spans="1:17" x14ac:dyDescent="0.3">
      <c r="A66" s="6" t="s">
        <v>282</v>
      </c>
      <c r="B66" s="10">
        <f>B60*((Forecast_Model!$G$18+B$52)*(1-Operating_Drivers!$S$57)+Operating_Drivers!$S$54-Operating_Drivers!$S$55+Operating_Drivers!$S$56)</f>
        <v>4605.0193154822764</v>
      </c>
      <c r="C66" s="10">
        <f>C60*((Forecast_Model!$G$18+C$52)*(1-Operating_Drivers!$S$57)+Operating_Drivers!$S$54-Operating_Drivers!$S$55+Operating_Drivers!$S$56)</f>
        <v>5207.4201808193175</v>
      </c>
      <c r="D66" s="10">
        <f>D60*((Forecast_Model!$G$18+D$52)*(1-Operating_Drivers!$S$57)+Operating_Drivers!$S$54-Operating_Drivers!$S$55+Operating_Drivers!$S$56)</f>
        <v>5867.4212195969785</v>
      </c>
      <c r="E66" s="8"/>
      <c r="F66" s="8"/>
      <c r="G66" s="8"/>
      <c r="H66" s="8"/>
      <c r="I66" s="8"/>
      <c r="J66" s="8"/>
      <c r="K66" s="8"/>
      <c r="L66" s="8"/>
      <c r="M66" s="8"/>
      <c r="N66" s="8"/>
      <c r="O66" s="8"/>
      <c r="P66" s="8"/>
      <c r="Q66" s="8"/>
    </row>
    <row r="67" spans="1:17" x14ac:dyDescent="0.3">
      <c r="A67" s="8"/>
      <c r="B67" s="8"/>
      <c r="C67" s="8"/>
      <c r="D67" s="8"/>
      <c r="E67" s="8"/>
      <c r="F67" s="8"/>
      <c r="G67" s="8"/>
      <c r="H67" s="8"/>
      <c r="I67" s="8"/>
      <c r="J67" s="8"/>
      <c r="K67" s="8"/>
      <c r="L67" s="8"/>
      <c r="M67" s="8"/>
      <c r="N67" s="8"/>
      <c r="O67" s="8"/>
      <c r="P67" s="8"/>
      <c r="Q67" s="8"/>
    </row>
    <row r="68" spans="1:17" x14ac:dyDescent="0.3">
      <c r="A68" s="6" t="s">
        <v>329</v>
      </c>
      <c r="B68" s="10">
        <f>(B62-DCF!$B$38)/(1+B$53)^0.25</f>
        <v>1930.3994124115668</v>
      </c>
      <c r="C68" s="10">
        <f>(C62-DCF!$B$38)/(1+C$53)^0.25</f>
        <v>1932.5969092828179</v>
      </c>
      <c r="D68" s="10">
        <f>(D62-DCF!$B$38)/(1+D$53)^0.25</f>
        <v>1934.8069711393141</v>
      </c>
      <c r="E68" s="8"/>
      <c r="F68" s="8"/>
      <c r="G68" s="8"/>
      <c r="H68" s="8"/>
      <c r="I68" s="8"/>
      <c r="J68" s="8"/>
      <c r="K68" s="8"/>
      <c r="L68" s="8"/>
      <c r="M68" s="8"/>
      <c r="N68" s="8"/>
      <c r="O68" s="8"/>
      <c r="P68" s="8"/>
      <c r="Q68" s="8"/>
    </row>
    <row r="69" spans="1:17" x14ac:dyDescent="0.3">
      <c r="A69" s="6" t="s">
        <v>744</v>
      </c>
      <c r="B69" s="54">
        <f>B63/(1+B$53)^1</f>
        <v>3526.0349381404349</v>
      </c>
      <c r="C69" s="54">
        <f t="shared" ref="C69:D69" si="8">C63/(1+C$53)^1</f>
        <v>3787.1345009277879</v>
      </c>
      <c r="D69" s="54">
        <f t="shared" si="8"/>
        <v>4057.1384013115476</v>
      </c>
      <c r="E69" s="8"/>
      <c r="F69" s="8"/>
      <c r="G69" s="8"/>
      <c r="H69" s="8"/>
      <c r="I69" s="8"/>
      <c r="J69" s="8"/>
      <c r="K69" s="8"/>
      <c r="L69" s="8"/>
      <c r="M69" s="8"/>
      <c r="N69" s="8"/>
      <c r="O69" s="8"/>
      <c r="P69" s="8"/>
      <c r="Q69" s="8"/>
    </row>
    <row r="70" spans="1:17" x14ac:dyDescent="0.3">
      <c r="A70" s="6" t="s">
        <v>745</v>
      </c>
      <c r="B70" s="54">
        <f>B64/(1+B$53)^2</f>
        <v>3451.7800923425625</v>
      </c>
      <c r="C70" s="54">
        <f t="shared" ref="C70:D70" si="9">C64/(1+C$53)^2</f>
        <v>3793.0226085547984</v>
      </c>
      <c r="D70" s="54">
        <f t="shared" si="9"/>
        <v>4156.0700171824483</v>
      </c>
      <c r="E70" s="8"/>
      <c r="F70" s="8"/>
      <c r="G70" s="8"/>
      <c r="H70" s="8"/>
      <c r="I70" s="8"/>
      <c r="J70" s="8"/>
      <c r="K70" s="8"/>
      <c r="L70" s="8"/>
      <c r="M70" s="8"/>
      <c r="N70" s="8"/>
      <c r="O70" s="8"/>
      <c r="P70" s="8"/>
      <c r="Q70" s="8"/>
    </row>
    <row r="71" spans="1:17" x14ac:dyDescent="0.3">
      <c r="A71" s="6" t="s">
        <v>746</v>
      </c>
      <c r="B71" s="54">
        <f>B65/(1+B$53)^3</f>
        <v>3318.0485954134051</v>
      </c>
      <c r="C71" s="54">
        <f t="shared" ref="C71:D71" si="10">C65/(1+C$53)^3</f>
        <v>3731.7748037250226</v>
      </c>
      <c r="D71" s="54">
        <f t="shared" si="10"/>
        <v>4183.74095078557</v>
      </c>
      <c r="E71" s="8"/>
      <c r="F71" s="8"/>
      <c r="G71" s="8"/>
      <c r="H71" s="8"/>
      <c r="I71" s="8"/>
      <c r="J71" s="8"/>
      <c r="K71" s="8"/>
      <c r="L71" s="8"/>
      <c r="M71" s="8"/>
      <c r="N71" s="8"/>
      <c r="O71" s="8"/>
      <c r="P71" s="8"/>
      <c r="Q71" s="8"/>
    </row>
    <row r="72" spans="1:17" x14ac:dyDescent="0.3">
      <c r="A72" s="6" t="s">
        <v>747</v>
      </c>
      <c r="B72" s="54">
        <f>B66/(1+B$53)^4</f>
        <v>3131.6709578803798</v>
      </c>
      <c r="C72" s="54">
        <f t="shared" ref="C72:D72" si="11">C66/(1+C$53)^4</f>
        <v>3606.3921882830514</v>
      </c>
      <c r="D72" s="54">
        <f t="shared" si="11"/>
        <v>4138.4661215190936</v>
      </c>
      <c r="E72" s="8"/>
      <c r="F72" s="8"/>
      <c r="G72" s="8"/>
      <c r="H72" s="8"/>
      <c r="I72" s="8"/>
      <c r="J72" s="8"/>
      <c r="K72" s="8"/>
      <c r="L72" s="8"/>
      <c r="M72" s="8"/>
      <c r="N72" s="8"/>
      <c r="O72" s="8"/>
      <c r="P72" s="8"/>
      <c r="Q72" s="8"/>
    </row>
    <row r="73" spans="1:17" x14ac:dyDescent="0.3">
      <c r="A73" s="6" t="s">
        <v>269</v>
      </c>
      <c r="B73" s="54">
        <f>(B66*(1+B$54)/(B$53-B$54))/(1+B$53)^4.5</f>
        <v>37490.436022674599</v>
      </c>
      <c r="C73" s="54">
        <f t="shared" ref="C73:D73" si="12">(C66*(1+C$54)/(C$53-C$54))/(1+C$53)^4.5</f>
        <v>49591.788558318964</v>
      </c>
      <c r="D73" s="54">
        <f t="shared" si="12"/>
        <v>66683.26691664668</v>
      </c>
      <c r="E73" s="8"/>
      <c r="F73" s="8"/>
      <c r="G73" s="8"/>
      <c r="H73" s="8"/>
      <c r="I73" s="8"/>
      <c r="J73" s="8"/>
      <c r="K73" s="8"/>
      <c r="L73" s="8"/>
      <c r="M73" s="8"/>
      <c r="N73" s="8"/>
      <c r="O73" s="8"/>
      <c r="P73" s="8"/>
      <c r="Q73" s="8"/>
    </row>
    <row r="74" spans="1:17" ht="15" thickBot="1" x14ac:dyDescent="0.35">
      <c r="A74" s="8"/>
      <c r="B74" s="8"/>
      <c r="C74" s="8"/>
      <c r="D74" s="8"/>
      <c r="E74" s="8"/>
      <c r="F74" s="8"/>
      <c r="G74" s="8"/>
      <c r="H74" s="8"/>
      <c r="I74" s="8"/>
      <c r="J74" s="8"/>
      <c r="K74" s="8"/>
      <c r="L74" s="8"/>
      <c r="M74" s="8"/>
      <c r="N74" s="8"/>
      <c r="O74" s="8"/>
      <c r="P74" s="8"/>
      <c r="Q74" s="8"/>
    </row>
    <row r="75" spans="1:17" ht="15" thickTop="1" x14ac:dyDescent="0.3">
      <c r="A75" s="64" t="s">
        <v>270</v>
      </c>
      <c r="B75" s="67">
        <f>SUM(B68:B73)</f>
        <v>52848.370018862952</v>
      </c>
      <c r="C75" s="67">
        <f t="shared" ref="C75:D75" si="13">SUM(C68:C73)</f>
        <v>66442.709569092447</v>
      </c>
      <c r="D75" s="67">
        <f t="shared" si="13"/>
        <v>85153.489378584651</v>
      </c>
      <c r="E75" s="8"/>
      <c r="F75" s="8"/>
      <c r="G75" s="8"/>
      <c r="H75" s="8"/>
      <c r="I75" s="8"/>
      <c r="J75" s="8"/>
      <c r="K75" s="8"/>
      <c r="L75" s="8"/>
      <c r="M75" s="8"/>
      <c r="N75" s="8"/>
      <c r="O75" s="8"/>
      <c r="P75" s="8"/>
      <c r="Q75" s="8"/>
    </row>
    <row r="76" spans="1:17" x14ac:dyDescent="0.3">
      <c r="A76" s="6" t="s">
        <v>271</v>
      </c>
      <c r="B76" s="10">
        <f>DCF!$B$61</f>
        <v>2136</v>
      </c>
      <c r="C76" s="10">
        <f>DCF!$B$61</f>
        <v>2136</v>
      </c>
      <c r="D76" s="10">
        <f>DCF!$B$61</f>
        <v>2136</v>
      </c>
      <c r="E76" s="8"/>
      <c r="F76" s="8"/>
      <c r="G76" s="8"/>
      <c r="H76" s="8"/>
      <c r="I76" s="8"/>
      <c r="J76" s="8"/>
      <c r="K76" s="8"/>
      <c r="L76" s="8"/>
      <c r="M76" s="8"/>
      <c r="N76" s="8"/>
      <c r="O76" s="8"/>
      <c r="P76" s="8"/>
      <c r="Q76" s="8"/>
    </row>
    <row r="77" spans="1:17" x14ac:dyDescent="0.3">
      <c r="A77" s="6" t="s">
        <v>272</v>
      </c>
      <c r="B77" s="54">
        <f>SUM(B75:B76)</f>
        <v>54984.370018862952</v>
      </c>
      <c r="C77" s="54">
        <f t="shared" ref="C77:D77" si="14">SUM(C75:C76)</f>
        <v>68578.709569092447</v>
      </c>
      <c r="D77" s="54">
        <f t="shared" si="14"/>
        <v>87289.489378584651</v>
      </c>
      <c r="E77" s="8"/>
      <c r="F77" s="8"/>
      <c r="G77" s="8"/>
      <c r="H77" s="8"/>
      <c r="I77" s="8"/>
      <c r="J77" s="8"/>
      <c r="K77" s="8"/>
      <c r="L77" s="8"/>
      <c r="M77" s="8"/>
      <c r="N77" s="8"/>
      <c r="O77" s="8"/>
      <c r="P77" s="8"/>
      <c r="Q77" s="8"/>
    </row>
    <row r="78" spans="1:17" x14ac:dyDescent="0.3">
      <c r="A78" s="6" t="s">
        <v>273</v>
      </c>
      <c r="B78" s="10">
        <f>DCF!$B$63</f>
        <v>8368</v>
      </c>
      <c r="C78" s="10">
        <f>DCF!$B$63</f>
        <v>8368</v>
      </c>
      <c r="D78" s="10">
        <f>DCF!$B$63</f>
        <v>8368</v>
      </c>
      <c r="E78" s="8"/>
      <c r="F78" s="8"/>
      <c r="G78" s="8"/>
      <c r="H78" s="8"/>
      <c r="I78" s="8"/>
      <c r="J78" s="8"/>
      <c r="K78" s="8"/>
      <c r="L78" s="8"/>
      <c r="M78" s="8"/>
      <c r="N78" s="8"/>
      <c r="O78" s="8"/>
      <c r="P78" s="8"/>
      <c r="Q78" s="8"/>
    </row>
    <row r="79" spans="1:17" x14ac:dyDescent="0.3">
      <c r="A79" s="6" t="s">
        <v>330</v>
      </c>
      <c r="B79" s="45">
        <f>B77/B78</f>
        <v>6.5707899162121119</v>
      </c>
      <c r="C79" s="45">
        <f t="shared" ref="C79:D79" si="15">C77/C78</f>
        <v>8.1953524819661148</v>
      </c>
      <c r="D79" s="45">
        <f t="shared" si="15"/>
        <v>10.431344333004859</v>
      </c>
      <c r="E79" s="8"/>
      <c r="F79" s="8"/>
      <c r="G79" s="8"/>
      <c r="H79" s="8"/>
      <c r="I79" s="8"/>
      <c r="J79" s="8"/>
      <c r="K79" s="8"/>
      <c r="L79" s="8"/>
      <c r="M79" s="8"/>
      <c r="N79" s="8"/>
      <c r="O79" s="8"/>
      <c r="P79" s="8"/>
      <c r="Q79" s="8"/>
    </row>
    <row r="80" spans="1:17" x14ac:dyDescent="0.3">
      <c r="A80" s="6" t="s">
        <v>276</v>
      </c>
      <c r="B80" s="13">
        <f>B79/DCF!$B$65-1</f>
        <v>-0.54527405424137632</v>
      </c>
      <c r="C80" s="13">
        <f>C79/DCF!$B$65-1</f>
        <v>-0.432847579102691</v>
      </c>
      <c r="D80" s="13">
        <f>D79/DCF!$B$65-1</f>
        <v>-0.27810765861558073</v>
      </c>
      <c r="E80" s="8"/>
      <c r="F80" s="8"/>
      <c r="G80" s="8"/>
      <c r="H80" s="8"/>
      <c r="I80" s="8"/>
      <c r="J80" s="8"/>
      <c r="K80" s="8"/>
      <c r="L80" s="8"/>
      <c r="M80" s="8"/>
      <c r="N80" s="8"/>
      <c r="O80" s="8"/>
      <c r="P80" s="8"/>
      <c r="Q80" s="8"/>
    </row>
    <row r="81" spans="1:17" x14ac:dyDescent="0.3">
      <c r="A81" s="8"/>
      <c r="B81" s="8"/>
      <c r="C81" s="8"/>
      <c r="D81" s="8"/>
      <c r="E81" s="8"/>
      <c r="F81" s="8"/>
      <c r="G81" s="8"/>
      <c r="H81" s="8"/>
      <c r="I81" s="8"/>
      <c r="J81" s="8"/>
      <c r="K81" s="8"/>
      <c r="L81" s="8"/>
      <c r="M81" s="8"/>
      <c r="N81" s="8"/>
      <c r="O81" s="8"/>
      <c r="P81" s="8"/>
      <c r="Q81" s="8"/>
    </row>
    <row r="82" spans="1:17" x14ac:dyDescent="0.3">
      <c r="A82" s="6" t="s">
        <v>331</v>
      </c>
      <c r="B82" s="11">
        <f>C79-DCF!$B$64</f>
        <v>0</v>
      </c>
      <c r="C82" s="8"/>
      <c r="D82" s="8"/>
      <c r="E82" s="8"/>
      <c r="F82" s="8"/>
      <c r="G82" s="8"/>
      <c r="H82" s="8"/>
      <c r="I82" s="8"/>
      <c r="J82" s="8"/>
      <c r="K82" s="8"/>
      <c r="L82" s="8"/>
      <c r="M82" s="8"/>
      <c r="N82" s="8"/>
      <c r="O82" s="8"/>
      <c r="P82" s="8"/>
      <c r="Q82" s="8"/>
    </row>
  </sheetData>
  <dataValidations count="1">
    <dataValidation type="list" allowBlank="1" showInputMessage="1" showErrorMessage="1" sqref="B21" xr:uid="{5D71D2DC-0969-483B-9A3C-FF29CF0B306E}">
      <formula1>$B$15:$D$15</formula1>
    </dataValidation>
  </dataValidations>
  <pageMargins left="0.7" right="0.7" top="0.75" bottom="0.75" header="0.3" footer="0.3"/>
  <ignoredErrors>
    <ignoredError sqref="B53:D53"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11897-D1BD-4ED8-B3CC-717F10BAC108}">
  <sheetPr>
    <tabColor theme="4" tint="0.59999389629810485"/>
  </sheetPr>
  <dimension ref="A3:G8"/>
  <sheetViews>
    <sheetView showGridLines="0" workbookViewId="0">
      <selection activeCell="L30" sqref="L30"/>
    </sheetView>
  </sheetViews>
  <sheetFormatPr defaultRowHeight="14.4" x14ac:dyDescent="0.3"/>
  <cols>
    <col min="1" max="1" width="16.77734375" customWidth="1"/>
    <col min="2" max="4" width="18.77734375" customWidth="1"/>
    <col min="7" max="7" width="24.77734375" customWidth="1"/>
  </cols>
  <sheetData>
    <row r="3" spans="1:7" x14ac:dyDescent="0.3">
      <c r="A3" s="68" t="s">
        <v>616</v>
      </c>
      <c r="B3" s="6" t="s">
        <v>19</v>
      </c>
      <c r="C3" s="6" t="s">
        <v>617</v>
      </c>
      <c r="D3" s="6" t="s">
        <v>618</v>
      </c>
      <c r="E3" s="6"/>
      <c r="F3" s="6"/>
      <c r="G3" s="6" t="s">
        <v>619</v>
      </c>
    </row>
    <row r="4" spans="1:7" x14ac:dyDescent="0.3">
      <c r="A4" s="69" t="s">
        <v>8</v>
      </c>
      <c r="B4" s="18">
        <v>18909</v>
      </c>
      <c r="C4" s="18">
        <v>2906</v>
      </c>
      <c r="D4" s="65">
        <v>0.15368343117034217</v>
      </c>
      <c r="E4" s="6"/>
      <c r="F4" s="6"/>
      <c r="G4" s="70">
        <v>0.121529430429954</v>
      </c>
    </row>
    <row r="5" spans="1:7" x14ac:dyDescent="0.3">
      <c r="A5" s="69" t="s">
        <v>9</v>
      </c>
      <c r="B5" s="18">
        <v>21207</v>
      </c>
      <c r="C5" s="18">
        <v>4468</v>
      </c>
      <c r="D5" s="65">
        <v>0.21068515112934408</v>
      </c>
      <c r="E5" s="6"/>
      <c r="F5" s="6"/>
      <c r="G5" s="6"/>
    </row>
    <row r="6" spans="1:7" x14ac:dyDescent="0.3">
      <c r="A6" s="6"/>
      <c r="B6" s="6"/>
      <c r="C6" s="6"/>
      <c r="D6" s="6"/>
      <c r="E6" s="6"/>
      <c r="F6" s="6"/>
      <c r="G6" s="6"/>
    </row>
    <row r="7" spans="1:7" x14ac:dyDescent="0.3">
      <c r="A7" s="6"/>
      <c r="B7" s="6"/>
      <c r="C7" s="6"/>
      <c r="D7" s="6"/>
      <c r="E7" s="6"/>
      <c r="F7" s="6"/>
      <c r="G7" s="6" t="s">
        <v>620</v>
      </c>
    </row>
    <row r="8" spans="1:7" x14ac:dyDescent="0.3">
      <c r="A8" s="6"/>
      <c r="B8" s="6"/>
      <c r="C8" s="6"/>
      <c r="D8" s="6"/>
      <c r="E8" s="6"/>
      <c r="F8" s="6"/>
      <c r="G8" s="70">
        <v>0.53750860289057123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44A0D-98D9-4377-A4A2-7C89D1EFB577}">
  <sheetPr>
    <tabColor theme="4" tint="0.79998168889431442"/>
  </sheetPr>
  <dimension ref="A1:C20"/>
  <sheetViews>
    <sheetView showGridLines="0" workbookViewId="0">
      <selection activeCell="J33" sqref="J33"/>
    </sheetView>
  </sheetViews>
  <sheetFormatPr defaultRowHeight="14.4" x14ac:dyDescent="0.3"/>
  <cols>
    <col min="1" max="1" width="42.77734375" customWidth="1"/>
    <col min="2" max="2" width="18.77734375" customWidth="1"/>
    <col min="3" max="3" width="16.77734375" customWidth="1"/>
  </cols>
  <sheetData>
    <row r="1" spans="1:3" ht="21" x14ac:dyDescent="0.3">
      <c r="A1" s="72" t="s">
        <v>381</v>
      </c>
      <c r="B1" s="73"/>
      <c r="C1" s="73"/>
    </row>
    <row r="2" spans="1:3" x14ac:dyDescent="0.3">
      <c r="A2" s="8"/>
      <c r="B2" s="8"/>
      <c r="C2" s="8"/>
    </row>
    <row r="3" spans="1:3" x14ac:dyDescent="0.3">
      <c r="A3" s="74" t="s">
        <v>382</v>
      </c>
      <c r="B3" s="75"/>
      <c r="C3" s="75"/>
    </row>
    <row r="4" spans="1:3" x14ac:dyDescent="0.3">
      <c r="A4" s="8"/>
      <c r="B4" s="8"/>
      <c r="C4" s="8"/>
    </row>
    <row r="5" spans="1:3" ht="26.4" x14ac:dyDescent="0.3">
      <c r="A5" s="95" t="s">
        <v>383</v>
      </c>
      <c r="B5" s="95" t="s">
        <v>384</v>
      </c>
      <c r="C5" s="95" t="s">
        <v>50</v>
      </c>
    </row>
    <row r="6" spans="1:3" x14ac:dyDescent="0.3">
      <c r="A6" s="6" t="s">
        <v>385</v>
      </c>
      <c r="B6" s="11">
        <f>MAX(MAX(Forecast_Model!C32:G32),-MIN(Forecast_Model!C32:G32))</f>
        <v>0</v>
      </c>
      <c r="C6" s="54" t="str">
        <f>IF(ABS(B6)&lt;0.01,"PASS","FAIL")</f>
        <v>PASS</v>
      </c>
    </row>
    <row r="7" spans="1:3" x14ac:dyDescent="0.3">
      <c r="A7" s="6" t="s">
        <v>386</v>
      </c>
      <c r="B7" s="11">
        <f>MAX(MAX(Forecast_Model!C33:G33),-MIN(Forecast_Model!C33:G33))</f>
        <v>0</v>
      </c>
      <c r="C7" s="54" t="str">
        <f>IF(ABS(B7)&lt;0.01,"PASS","FAIL")</f>
        <v>PASS</v>
      </c>
    </row>
    <row r="8" spans="1:3" x14ac:dyDescent="0.3">
      <c r="A8" s="6" t="s">
        <v>387</v>
      </c>
      <c r="B8" s="10">
        <f>DCF!B24+DCF!B25-1</f>
        <v>0</v>
      </c>
      <c r="C8" s="54" t="str">
        <f>IF(ABS(B8)&lt;0.0001,"PASS","FAIL")</f>
        <v>PASS</v>
      </c>
    </row>
    <row r="9" spans="1:3" x14ac:dyDescent="0.3">
      <c r="A9" s="6" t="s">
        <v>388</v>
      </c>
      <c r="B9" s="10">
        <f>DCF!B60-(SUM(DCF!B48:F48)+DCF!B57)</f>
        <v>0</v>
      </c>
      <c r="C9" s="54" t="str">
        <f>IF(ABS(B9)&lt;0.01,"PASS","FAIL")</f>
        <v>PASS</v>
      </c>
    </row>
    <row r="10" spans="1:3" x14ac:dyDescent="0.3">
      <c r="A10" s="6" t="s">
        <v>389</v>
      </c>
      <c r="B10" s="10">
        <f>DCF!B62-(DCF!B60+DCF!B61)</f>
        <v>0</v>
      </c>
      <c r="C10" s="54" t="str">
        <f>IF(ABS(B10)&lt;0.01,"PASS","FAIL")</f>
        <v>PASS</v>
      </c>
    </row>
    <row r="11" spans="1:3" x14ac:dyDescent="0.3">
      <c r="A11" s="6" t="s">
        <v>390</v>
      </c>
      <c r="B11" s="10">
        <f>DCF!B64-(DCF!B62/DCF!B63)</f>
        <v>0</v>
      </c>
      <c r="C11" s="54" t="str">
        <f>IF(ABS(B11)&lt;0.0001,"PASS","FAIL")</f>
        <v>PASS</v>
      </c>
    </row>
    <row r="12" spans="1:3" x14ac:dyDescent="0.3">
      <c r="A12" s="6" t="s">
        <v>391</v>
      </c>
      <c r="B12" s="10">
        <f>DCF!B26-DCF!B27</f>
        <v>7.1193990919511951E-2</v>
      </c>
      <c r="C12" s="54" t="str">
        <f>IF(B12&gt;0,"PASS","FAIL")</f>
        <v>PASS</v>
      </c>
    </row>
    <row r="13" spans="1:3" x14ac:dyDescent="0.3">
      <c r="A13" s="6" t="s">
        <v>392</v>
      </c>
      <c r="B13" s="10">
        <f>Sensitivity!B5-DCF!B64</f>
        <v>0</v>
      </c>
      <c r="C13" s="54" t="str">
        <f>IF(ABS(B13)&lt;0.01,"PASS","FAIL")</f>
        <v>PASS</v>
      </c>
    </row>
    <row r="14" spans="1:3" x14ac:dyDescent="0.3">
      <c r="A14" s="6" t="s">
        <v>393</v>
      </c>
      <c r="B14" s="10">
        <f>Sensitivity!C82</f>
        <v>0</v>
      </c>
      <c r="C14" s="54" t="str">
        <f>IF(ABS(B14)&lt;0.01,"PASS","FAIL")</f>
        <v>PASS</v>
      </c>
    </row>
    <row r="15" spans="1:3" x14ac:dyDescent="0.3">
      <c r="A15" s="6" t="s">
        <v>394</v>
      </c>
      <c r="B15" s="10">
        <f ca="1">SUM(Comparable_Companies!D6:D11)-SUM(Comparable_Companies!R6:R11)</f>
        <v>0</v>
      </c>
      <c r="C15" s="54" t="str">
        <f ca="1">IF(ABS(B15)&lt;0.01,"PASS","FAIL")</f>
        <v>PASS</v>
      </c>
    </row>
    <row r="16" spans="1:3" x14ac:dyDescent="0.3">
      <c r="A16" s="6" t="s">
        <v>395</v>
      </c>
      <c r="B16" s="10">
        <f ca="1">SUM(Comparable_Companies!E6:E11)-SUM(Comparable_Companies!S6:S11)</f>
        <v>0</v>
      </c>
      <c r="C16" s="54" t="str">
        <f ca="1">IF(ABS(B16)&lt;0.01,"PASS","FAIL")</f>
        <v>PASS</v>
      </c>
    </row>
    <row r="17" spans="1:3" x14ac:dyDescent="0.3">
      <c r="A17" s="6" t="s">
        <v>396</v>
      </c>
      <c r="B17" s="10">
        <f>Comparable_Companies!B32-DCF!B61</f>
        <v>0</v>
      </c>
      <c r="C17" s="54" t="str">
        <f>IF(ABS(B17)&lt;0.01,"PASS","FAIL")</f>
        <v>PASS</v>
      </c>
    </row>
    <row r="18" spans="1:3" x14ac:dyDescent="0.3">
      <c r="A18" s="6" t="s">
        <v>397</v>
      </c>
      <c r="B18" s="10" cm="1">
        <f t="array" ref="B18">MAX(ABS(Historical_FS!B42:K42-(Historical_FS!B37:K37+Historical_FS!B38:K38+Historical_FS!B39:K39+Historical_FS!B40:K40+Historical_FS!B41:K41)))</f>
        <v>0</v>
      </c>
      <c r="C18" s="54" t="str">
        <f>IF(ABS(B18)&lt;0.01,"PASS","REVIEW")</f>
        <v>PASS</v>
      </c>
    </row>
    <row r="19" spans="1:3" x14ac:dyDescent="0.3">
      <c r="A19" s="8"/>
      <c r="B19" s="8"/>
      <c r="C19" s="8"/>
    </row>
    <row r="20" spans="1:3" x14ac:dyDescent="0.3">
      <c r="A20" s="89" t="s">
        <v>398</v>
      </c>
      <c r="B20" s="93">
        <f ca="1">COUNTIF(C6:C18,"FAIL")</f>
        <v>0</v>
      </c>
      <c r="C20" s="93" t="str">
        <f ca="1">IF(B20=0,"PASS","FAIL")</f>
        <v>PASS</v>
      </c>
    </row>
  </sheetData>
  <conditionalFormatting sqref="A1:AZ157">
    <cfRule type="containsText" dxfId="2" priority="1" operator="containsText" text="REVIEW">
      <formula>NOT(ISERROR(SEARCH("REVIEW",A1)))</formula>
    </cfRule>
    <cfRule type="containsText" dxfId="1" priority="2" operator="containsText" text="FAIL">
      <formula>NOT(ISERROR(SEARCH("FAIL",A1)))</formula>
    </cfRule>
    <cfRule type="containsText" dxfId="0" priority="3" operator="containsText" text="PASS">
      <formula>NOT(ISERROR(SEARCH("PASS",A1)))</formula>
    </cfRule>
  </conditionalFormatting>
  <pageMargins left="0.7" right="0.7" top="0.75" bottom="0.75" header="0.3" footer="0.3"/>
  <ignoredErrors>
    <ignoredError sqref="C8"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BCCC2-BF34-46F8-97A3-5D6B8C8F178E}">
  <sheetPr>
    <tabColor rgb="FF0070C0"/>
  </sheetPr>
  <dimension ref="A1:F100"/>
  <sheetViews>
    <sheetView showGridLines="0" workbookViewId="0">
      <selection activeCell="I20" sqref="I20"/>
    </sheetView>
  </sheetViews>
  <sheetFormatPr defaultRowHeight="14.4" x14ac:dyDescent="0.3"/>
  <cols>
    <col min="1" max="1" width="16.77734375" customWidth="1"/>
    <col min="2" max="2" width="20.77734375" customWidth="1"/>
    <col min="3" max="3" width="38.77734375" customWidth="1"/>
    <col min="4" max="4" width="20.77734375" customWidth="1"/>
    <col min="5" max="5" width="52.77734375" customWidth="1"/>
    <col min="6" max="6" width="30.77734375" customWidth="1"/>
  </cols>
  <sheetData>
    <row r="1" spans="1:6" x14ac:dyDescent="0.3">
      <c r="A1" s="95" t="s">
        <v>17</v>
      </c>
      <c r="B1" s="95" t="s">
        <v>63</v>
      </c>
      <c r="C1" s="95" t="s">
        <v>66</v>
      </c>
      <c r="D1" s="95" t="s">
        <v>67</v>
      </c>
      <c r="E1" s="95" t="s">
        <v>50</v>
      </c>
      <c r="F1" s="95" t="s">
        <v>51</v>
      </c>
    </row>
    <row r="2" spans="1:6" ht="26.4" x14ac:dyDescent="0.3">
      <c r="A2" s="97">
        <v>2016</v>
      </c>
      <c r="B2" s="42" t="s">
        <v>64</v>
      </c>
      <c r="C2" s="42" t="s">
        <v>52</v>
      </c>
      <c r="D2" s="42" t="s">
        <v>68</v>
      </c>
      <c r="E2" s="42" t="s">
        <v>53</v>
      </c>
      <c r="F2" s="42" t="s">
        <v>70</v>
      </c>
    </row>
    <row r="3" spans="1:6" ht="26.4" x14ac:dyDescent="0.3">
      <c r="A3" s="97">
        <v>2017</v>
      </c>
      <c r="B3" s="42" t="s">
        <v>64</v>
      </c>
      <c r="C3" s="42" t="s">
        <v>54</v>
      </c>
      <c r="D3" s="42" t="s">
        <v>68</v>
      </c>
      <c r="E3" s="42" t="s">
        <v>53</v>
      </c>
      <c r="F3" s="42" t="s">
        <v>71</v>
      </c>
    </row>
    <row r="4" spans="1:6" ht="26.4" x14ac:dyDescent="0.3">
      <c r="A4" s="97">
        <v>2018</v>
      </c>
      <c r="B4" s="42" t="s">
        <v>64</v>
      </c>
      <c r="C4" s="42" t="s">
        <v>55</v>
      </c>
      <c r="D4" s="42" t="s">
        <v>68</v>
      </c>
      <c r="E4" s="42" t="s">
        <v>53</v>
      </c>
      <c r="F4" s="42" t="s">
        <v>72</v>
      </c>
    </row>
    <row r="5" spans="1:6" ht="26.4" x14ac:dyDescent="0.3">
      <c r="A5" s="97">
        <v>2019</v>
      </c>
      <c r="B5" s="42" t="s">
        <v>64</v>
      </c>
      <c r="C5" s="42" t="s">
        <v>56</v>
      </c>
      <c r="D5" s="42" t="s">
        <v>68</v>
      </c>
      <c r="E5" s="42" t="s">
        <v>53</v>
      </c>
      <c r="F5" s="42" t="s">
        <v>73</v>
      </c>
    </row>
    <row r="6" spans="1:6" ht="26.4" x14ac:dyDescent="0.3">
      <c r="A6" s="97">
        <v>2020</v>
      </c>
      <c r="B6" s="42" t="s">
        <v>64</v>
      </c>
      <c r="C6" s="42" t="s">
        <v>57</v>
      </c>
      <c r="D6" s="42" t="s">
        <v>68</v>
      </c>
      <c r="E6" s="42" t="s">
        <v>53</v>
      </c>
      <c r="F6" s="42" t="s">
        <v>74</v>
      </c>
    </row>
    <row r="7" spans="1:6" ht="26.4" x14ac:dyDescent="0.3">
      <c r="A7" s="97">
        <v>2021</v>
      </c>
      <c r="B7" s="42" t="s">
        <v>64</v>
      </c>
      <c r="C7" s="42" t="s">
        <v>58</v>
      </c>
      <c r="D7" s="42" t="s">
        <v>68</v>
      </c>
      <c r="E7" s="42" t="s">
        <v>53</v>
      </c>
      <c r="F7" s="42" t="s">
        <v>75</v>
      </c>
    </row>
    <row r="8" spans="1:6" ht="26.4" x14ac:dyDescent="0.3">
      <c r="A8" s="97">
        <v>2022</v>
      </c>
      <c r="B8" s="42" t="s">
        <v>64</v>
      </c>
      <c r="C8" s="42" t="s">
        <v>59</v>
      </c>
      <c r="D8" s="42" t="s">
        <v>68</v>
      </c>
      <c r="E8" s="42" t="s">
        <v>53</v>
      </c>
      <c r="F8" s="42" t="s">
        <v>76</v>
      </c>
    </row>
    <row r="9" spans="1:6" ht="26.4" x14ac:dyDescent="0.3">
      <c r="A9" s="97">
        <v>2023</v>
      </c>
      <c r="B9" s="42" t="s">
        <v>64</v>
      </c>
      <c r="C9" s="42" t="s">
        <v>60</v>
      </c>
      <c r="D9" s="42" t="s">
        <v>68</v>
      </c>
      <c r="E9" s="42" t="s">
        <v>53</v>
      </c>
      <c r="F9" s="42" t="s">
        <v>77</v>
      </c>
    </row>
    <row r="10" spans="1:6" ht="26.4" x14ac:dyDescent="0.3">
      <c r="A10" s="97">
        <v>2024</v>
      </c>
      <c r="B10" s="42" t="s">
        <v>64</v>
      </c>
      <c r="C10" s="42" t="s">
        <v>61</v>
      </c>
      <c r="D10" s="42" t="s">
        <v>68</v>
      </c>
      <c r="E10" s="42" t="s">
        <v>53</v>
      </c>
      <c r="F10" s="42" t="s">
        <v>78</v>
      </c>
    </row>
    <row r="11" spans="1:6" ht="26.4" x14ac:dyDescent="0.3">
      <c r="A11" s="97">
        <v>2025</v>
      </c>
      <c r="B11" s="42" t="s">
        <v>65</v>
      </c>
      <c r="C11" s="42" t="s">
        <v>62</v>
      </c>
      <c r="D11" s="42" t="s">
        <v>69</v>
      </c>
      <c r="E11" s="42" t="s">
        <v>53</v>
      </c>
      <c r="F11" s="42" t="s">
        <v>79</v>
      </c>
    </row>
    <row r="12" spans="1:6" x14ac:dyDescent="0.3">
      <c r="A12" s="37"/>
      <c r="B12" s="37"/>
      <c r="C12" s="37"/>
      <c r="D12" s="37"/>
      <c r="E12" s="37"/>
      <c r="F12" s="37"/>
    </row>
    <row r="13" spans="1:6" x14ac:dyDescent="0.3">
      <c r="A13" s="37"/>
      <c r="B13" s="37"/>
      <c r="C13" s="37"/>
      <c r="D13" s="37"/>
      <c r="E13" s="37"/>
      <c r="F13" s="37"/>
    </row>
    <row r="14" spans="1:6" x14ac:dyDescent="0.3">
      <c r="A14" s="128" t="s">
        <v>676</v>
      </c>
      <c r="B14" s="128"/>
      <c r="C14" s="128"/>
      <c r="D14" s="128"/>
      <c r="E14" s="128"/>
      <c r="F14" s="128"/>
    </row>
    <row r="15" spans="1:6" x14ac:dyDescent="0.3">
      <c r="A15" s="95" t="s">
        <v>677</v>
      </c>
      <c r="B15" s="95" t="s">
        <v>678</v>
      </c>
      <c r="C15" s="95" t="s">
        <v>679</v>
      </c>
      <c r="D15" s="95" t="s">
        <v>680</v>
      </c>
      <c r="E15" s="95" t="s">
        <v>681</v>
      </c>
      <c r="F15" s="95" t="s">
        <v>682</v>
      </c>
    </row>
    <row r="16" spans="1:6" ht="26.4" x14ac:dyDescent="0.3">
      <c r="A16" s="42" t="s">
        <v>683</v>
      </c>
      <c r="B16" s="42" t="s">
        <v>684</v>
      </c>
      <c r="C16" s="42" t="s">
        <v>685</v>
      </c>
      <c r="D16" s="71">
        <v>46203</v>
      </c>
      <c r="E16" s="42" t="s">
        <v>686</v>
      </c>
      <c r="F16" s="42" t="s">
        <v>687</v>
      </c>
    </row>
    <row r="17" spans="1:6" ht="26.4" x14ac:dyDescent="0.3">
      <c r="A17" s="42" t="s">
        <v>688</v>
      </c>
      <c r="B17" s="42" t="s">
        <v>689</v>
      </c>
      <c r="C17" s="42" t="s">
        <v>690</v>
      </c>
      <c r="D17" s="42" t="s">
        <v>691</v>
      </c>
      <c r="E17" s="42" t="s">
        <v>692</v>
      </c>
      <c r="F17" s="42" t="s">
        <v>687</v>
      </c>
    </row>
    <row r="18" spans="1:6" x14ac:dyDescent="0.3">
      <c r="A18" s="42" t="s">
        <v>693</v>
      </c>
      <c r="B18" s="42" t="s">
        <v>694</v>
      </c>
      <c r="C18" s="42" t="s">
        <v>695</v>
      </c>
      <c r="D18" s="42" t="s">
        <v>696</v>
      </c>
      <c r="E18" s="42" t="s">
        <v>697</v>
      </c>
      <c r="F18" s="42" t="s">
        <v>698</v>
      </c>
    </row>
    <row r="19" spans="1:6" x14ac:dyDescent="0.3">
      <c r="A19" s="42" t="s">
        <v>699</v>
      </c>
      <c r="B19" s="42" t="s">
        <v>700</v>
      </c>
      <c r="C19" s="42" t="s">
        <v>701</v>
      </c>
      <c r="D19" s="42" t="s">
        <v>702</v>
      </c>
      <c r="E19" s="42" t="s">
        <v>703</v>
      </c>
      <c r="F19" s="42" t="s">
        <v>704</v>
      </c>
    </row>
    <row r="20" spans="1:6" x14ac:dyDescent="0.3">
      <c r="A20" s="42" t="s">
        <v>705</v>
      </c>
      <c r="B20" s="42" t="s">
        <v>700</v>
      </c>
      <c r="C20" s="42" t="s">
        <v>706</v>
      </c>
      <c r="D20" s="42" t="s">
        <v>702</v>
      </c>
      <c r="E20" s="42" t="s">
        <v>707</v>
      </c>
      <c r="F20" s="42" t="s">
        <v>708</v>
      </c>
    </row>
    <row r="21" spans="1:6" x14ac:dyDescent="0.3">
      <c r="A21" s="42" t="s">
        <v>709</v>
      </c>
      <c r="B21" s="42" t="s">
        <v>710</v>
      </c>
      <c r="C21" s="42" t="s">
        <v>711</v>
      </c>
      <c r="D21" s="42" t="s">
        <v>712</v>
      </c>
      <c r="E21" s="42" t="s">
        <v>713</v>
      </c>
      <c r="F21" s="42" t="s">
        <v>714</v>
      </c>
    </row>
    <row r="22" spans="1:6" ht="26.4" x14ac:dyDescent="0.3">
      <c r="A22" s="42" t="s">
        <v>715</v>
      </c>
      <c r="B22" s="42" t="s">
        <v>716</v>
      </c>
      <c r="C22" s="42" t="s">
        <v>717</v>
      </c>
      <c r="D22" s="42" t="s">
        <v>718</v>
      </c>
      <c r="E22" s="42" t="s">
        <v>719</v>
      </c>
      <c r="F22" s="42" t="s">
        <v>720</v>
      </c>
    </row>
    <row r="23" spans="1:6" x14ac:dyDescent="0.3">
      <c r="A23" s="37"/>
      <c r="B23" s="37"/>
      <c r="C23" s="37"/>
      <c r="D23" s="37"/>
      <c r="E23" s="37"/>
      <c r="F23" s="37"/>
    </row>
    <row r="24" spans="1:6" x14ac:dyDescent="0.3">
      <c r="A24" s="37"/>
      <c r="B24" s="37"/>
      <c r="C24" s="37"/>
      <c r="D24" s="37"/>
      <c r="E24" s="37"/>
      <c r="F24" s="37"/>
    </row>
    <row r="25" spans="1:6" x14ac:dyDescent="0.3">
      <c r="A25" s="129" t="s">
        <v>721</v>
      </c>
      <c r="B25" s="129"/>
      <c r="C25" s="129"/>
      <c r="D25" s="129"/>
      <c r="E25" s="129"/>
      <c r="F25" s="129"/>
    </row>
    <row r="26" spans="1:6" ht="26.4" x14ac:dyDescent="0.3">
      <c r="A26" s="42" t="s">
        <v>722</v>
      </c>
      <c r="B26" s="42" t="s">
        <v>723</v>
      </c>
      <c r="C26" s="42" t="s">
        <v>724</v>
      </c>
      <c r="D26" s="42" t="s">
        <v>725</v>
      </c>
      <c r="E26" s="42" t="s">
        <v>726</v>
      </c>
      <c r="F26" s="42" t="s">
        <v>727</v>
      </c>
    </row>
    <row r="27" spans="1:6" x14ac:dyDescent="0.3">
      <c r="A27" s="42" t="s">
        <v>728</v>
      </c>
      <c r="B27" s="42" t="s">
        <v>729</v>
      </c>
      <c r="C27" s="42" t="s">
        <v>730</v>
      </c>
      <c r="D27" s="42" t="s">
        <v>731</v>
      </c>
      <c r="E27" s="42" t="s">
        <v>732</v>
      </c>
      <c r="F27" s="42" t="s">
        <v>733</v>
      </c>
    </row>
    <row r="28" spans="1:6" ht="26.4" x14ac:dyDescent="0.3">
      <c r="A28" s="42" t="s">
        <v>734</v>
      </c>
      <c r="B28" s="42" t="s">
        <v>735</v>
      </c>
      <c r="C28" s="42" t="s">
        <v>736</v>
      </c>
      <c r="D28" s="42" t="s">
        <v>737</v>
      </c>
      <c r="E28" s="42" t="s">
        <v>738</v>
      </c>
      <c r="F28" s="42" t="s">
        <v>739</v>
      </c>
    </row>
    <row r="29" spans="1:6" x14ac:dyDescent="0.3">
      <c r="A29" s="42" t="s">
        <v>740</v>
      </c>
      <c r="B29" s="42" t="s">
        <v>741</v>
      </c>
      <c r="C29" s="42" t="s">
        <v>742</v>
      </c>
      <c r="D29" s="42" t="s">
        <v>712</v>
      </c>
      <c r="E29" s="42" t="s">
        <v>743</v>
      </c>
      <c r="F29" s="42" t="s">
        <v>739</v>
      </c>
    </row>
    <row r="30" spans="1:6" x14ac:dyDescent="0.3">
      <c r="A30" s="4"/>
      <c r="B30" s="4"/>
      <c r="C30" s="4"/>
      <c r="D30" s="4"/>
      <c r="E30" s="4"/>
      <c r="F30" s="4"/>
    </row>
    <row r="31" spans="1:6" x14ac:dyDescent="0.3">
      <c r="A31" s="4"/>
      <c r="B31" s="4"/>
      <c r="C31" s="4"/>
      <c r="D31" s="4"/>
      <c r="E31" s="4"/>
      <c r="F31" s="4"/>
    </row>
    <row r="32" spans="1:6" x14ac:dyDescent="0.3">
      <c r="A32" s="4"/>
      <c r="B32" s="4"/>
      <c r="C32" s="4"/>
      <c r="D32" s="4"/>
      <c r="E32" s="4"/>
      <c r="F32" s="4"/>
    </row>
    <row r="33" spans="1:6" x14ac:dyDescent="0.3">
      <c r="A33" s="4"/>
      <c r="B33" s="4"/>
      <c r="C33" s="4"/>
      <c r="D33" s="4"/>
      <c r="E33" s="4"/>
      <c r="F33" s="4"/>
    </row>
    <row r="34" spans="1:6" x14ac:dyDescent="0.3">
      <c r="A34" s="4"/>
      <c r="B34" s="4"/>
      <c r="C34" s="4"/>
      <c r="D34" s="4"/>
      <c r="E34" s="4"/>
      <c r="F34" s="4"/>
    </row>
    <row r="35" spans="1:6" x14ac:dyDescent="0.3">
      <c r="A35" s="4"/>
      <c r="B35" s="4"/>
      <c r="C35" s="4"/>
      <c r="D35" s="4"/>
      <c r="E35" s="4"/>
      <c r="F35" s="4"/>
    </row>
    <row r="36" spans="1:6" x14ac:dyDescent="0.3">
      <c r="A36" s="4"/>
      <c r="B36" s="4"/>
      <c r="C36" s="4"/>
      <c r="D36" s="4"/>
      <c r="E36" s="4"/>
      <c r="F36" s="4"/>
    </row>
    <row r="37" spans="1:6" x14ac:dyDescent="0.3">
      <c r="A37" s="4"/>
      <c r="B37" s="4"/>
      <c r="C37" s="4"/>
      <c r="D37" s="4"/>
      <c r="E37" s="4"/>
      <c r="F37" s="4"/>
    </row>
    <row r="38" spans="1:6" x14ac:dyDescent="0.3">
      <c r="A38" s="4"/>
      <c r="B38" s="4"/>
      <c r="C38" s="4"/>
      <c r="D38" s="4"/>
      <c r="E38" s="4"/>
      <c r="F38" s="4"/>
    </row>
    <row r="39" spans="1:6" x14ac:dyDescent="0.3">
      <c r="A39" s="4"/>
      <c r="B39" s="4"/>
      <c r="C39" s="4"/>
      <c r="D39" s="4"/>
      <c r="E39" s="4"/>
      <c r="F39" s="4"/>
    </row>
    <row r="40" spans="1:6" x14ac:dyDescent="0.3">
      <c r="A40" s="4"/>
      <c r="B40" s="4"/>
      <c r="C40" s="4"/>
      <c r="D40" s="4"/>
      <c r="E40" s="4"/>
      <c r="F40" s="4"/>
    </row>
    <row r="41" spans="1:6" x14ac:dyDescent="0.3">
      <c r="A41" s="4"/>
      <c r="B41" s="4"/>
      <c r="C41" s="4"/>
      <c r="D41" s="4"/>
      <c r="E41" s="4"/>
      <c r="F41" s="4"/>
    </row>
    <row r="42" spans="1:6" x14ac:dyDescent="0.3">
      <c r="A42" s="4"/>
      <c r="B42" s="4"/>
      <c r="C42" s="4"/>
      <c r="D42" s="4"/>
      <c r="E42" s="4"/>
      <c r="F42" s="4"/>
    </row>
    <row r="43" spans="1:6" x14ac:dyDescent="0.3">
      <c r="A43" s="4"/>
      <c r="B43" s="4"/>
      <c r="C43" s="4"/>
      <c r="D43" s="4"/>
      <c r="E43" s="4"/>
      <c r="F43" s="4"/>
    </row>
    <row r="44" spans="1:6" x14ac:dyDescent="0.3">
      <c r="A44" s="4"/>
      <c r="B44" s="4"/>
      <c r="C44" s="4"/>
      <c r="D44" s="4"/>
      <c r="E44" s="4"/>
      <c r="F44" s="4"/>
    </row>
    <row r="45" spans="1:6" x14ac:dyDescent="0.3">
      <c r="A45" s="4"/>
      <c r="B45" s="4"/>
      <c r="C45" s="4"/>
      <c r="D45" s="4"/>
      <c r="E45" s="4"/>
      <c r="F45" s="4"/>
    </row>
    <row r="46" spans="1:6" x14ac:dyDescent="0.3">
      <c r="A46" s="4"/>
      <c r="B46" s="4"/>
      <c r="C46" s="4"/>
      <c r="D46" s="4"/>
      <c r="E46" s="4"/>
      <c r="F46" s="4"/>
    </row>
    <row r="47" spans="1:6" x14ac:dyDescent="0.3">
      <c r="A47" s="4"/>
      <c r="B47" s="4"/>
      <c r="C47" s="4"/>
      <c r="D47" s="4"/>
      <c r="E47" s="4"/>
      <c r="F47" s="4"/>
    </row>
    <row r="48" spans="1:6" x14ac:dyDescent="0.3">
      <c r="A48" s="4"/>
      <c r="B48" s="4"/>
      <c r="C48" s="4"/>
      <c r="D48" s="4"/>
      <c r="E48" s="4"/>
      <c r="F48" s="4"/>
    </row>
    <row r="49" spans="1:6" x14ac:dyDescent="0.3">
      <c r="A49" s="4"/>
      <c r="B49" s="4"/>
      <c r="C49" s="4"/>
      <c r="D49" s="4"/>
      <c r="E49" s="4"/>
      <c r="F49" s="4"/>
    </row>
    <row r="50" spans="1:6" x14ac:dyDescent="0.3">
      <c r="A50" s="4"/>
      <c r="B50" s="4"/>
      <c r="C50" s="4"/>
      <c r="D50" s="4"/>
      <c r="E50" s="4"/>
      <c r="F50" s="4"/>
    </row>
    <row r="51" spans="1:6" x14ac:dyDescent="0.3">
      <c r="A51" s="4"/>
      <c r="B51" s="4"/>
      <c r="C51" s="4"/>
      <c r="D51" s="4"/>
      <c r="E51" s="4"/>
      <c r="F51" s="4"/>
    </row>
    <row r="52" spans="1:6" x14ac:dyDescent="0.3">
      <c r="A52" s="4"/>
      <c r="B52" s="4"/>
      <c r="C52" s="4"/>
      <c r="D52" s="4"/>
      <c r="E52" s="4"/>
      <c r="F52" s="4"/>
    </row>
    <row r="53" spans="1:6" x14ac:dyDescent="0.3">
      <c r="A53" s="4"/>
      <c r="B53" s="4"/>
      <c r="C53" s="4"/>
      <c r="D53" s="4"/>
      <c r="E53" s="4"/>
      <c r="F53" s="4"/>
    </row>
    <row r="54" spans="1:6" x14ac:dyDescent="0.3">
      <c r="A54" s="4"/>
      <c r="B54" s="4"/>
      <c r="C54" s="4"/>
      <c r="D54" s="4"/>
      <c r="E54" s="4"/>
      <c r="F54" s="4"/>
    </row>
    <row r="55" spans="1:6" x14ac:dyDescent="0.3">
      <c r="A55" s="4"/>
      <c r="B55" s="4"/>
      <c r="C55" s="4"/>
      <c r="D55" s="4"/>
      <c r="E55" s="4"/>
      <c r="F55" s="4"/>
    </row>
    <row r="56" spans="1:6" x14ac:dyDescent="0.3">
      <c r="A56" s="4"/>
      <c r="B56" s="4"/>
      <c r="C56" s="4"/>
      <c r="D56" s="4"/>
      <c r="E56" s="4"/>
      <c r="F56" s="4"/>
    </row>
    <row r="57" spans="1:6" x14ac:dyDescent="0.3">
      <c r="A57" s="4"/>
      <c r="B57" s="4"/>
      <c r="C57" s="4"/>
      <c r="D57" s="4"/>
      <c r="E57" s="4"/>
      <c r="F57" s="4"/>
    </row>
    <row r="58" spans="1:6" x14ac:dyDescent="0.3">
      <c r="A58" s="4"/>
      <c r="B58" s="4"/>
      <c r="C58" s="4"/>
      <c r="D58" s="4"/>
      <c r="E58" s="4"/>
      <c r="F58" s="4"/>
    </row>
    <row r="59" spans="1:6" x14ac:dyDescent="0.3">
      <c r="A59" s="4"/>
      <c r="B59" s="4"/>
      <c r="C59" s="4"/>
      <c r="D59" s="4"/>
      <c r="E59" s="4"/>
      <c r="F59" s="4"/>
    </row>
    <row r="60" spans="1:6" x14ac:dyDescent="0.3">
      <c r="A60" s="4"/>
      <c r="B60" s="4"/>
      <c r="C60" s="4"/>
      <c r="D60" s="4"/>
      <c r="E60" s="4"/>
      <c r="F60" s="4"/>
    </row>
    <row r="61" spans="1:6" x14ac:dyDescent="0.3">
      <c r="A61" s="4"/>
      <c r="B61" s="4"/>
      <c r="C61" s="4"/>
      <c r="D61" s="4"/>
      <c r="E61" s="4"/>
      <c r="F61" s="4"/>
    </row>
    <row r="62" spans="1:6" x14ac:dyDescent="0.3">
      <c r="A62" s="4"/>
      <c r="B62" s="4"/>
      <c r="C62" s="4"/>
      <c r="D62" s="4"/>
      <c r="E62" s="4"/>
      <c r="F62" s="4"/>
    </row>
    <row r="63" spans="1:6" x14ac:dyDescent="0.3">
      <c r="A63" s="4"/>
      <c r="B63" s="4"/>
      <c r="C63" s="4"/>
      <c r="D63" s="4"/>
      <c r="E63" s="4"/>
      <c r="F63" s="4"/>
    </row>
    <row r="64" spans="1:6" x14ac:dyDescent="0.3">
      <c r="A64" s="4"/>
      <c r="B64" s="4"/>
      <c r="C64" s="4"/>
      <c r="D64" s="4"/>
      <c r="E64" s="4"/>
      <c r="F64" s="4"/>
    </row>
    <row r="65" spans="1:6" x14ac:dyDescent="0.3">
      <c r="A65" s="4"/>
      <c r="B65" s="4"/>
      <c r="C65" s="4"/>
      <c r="D65" s="4"/>
      <c r="E65" s="4"/>
      <c r="F65" s="4"/>
    </row>
    <row r="66" spans="1:6" x14ac:dyDescent="0.3">
      <c r="A66" s="4"/>
      <c r="B66" s="4"/>
      <c r="C66" s="4"/>
      <c r="D66" s="4"/>
      <c r="E66" s="4"/>
      <c r="F66" s="4"/>
    </row>
    <row r="67" spans="1:6" x14ac:dyDescent="0.3">
      <c r="A67" s="4"/>
      <c r="B67" s="4"/>
      <c r="C67" s="4"/>
      <c r="D67" s="4"/>
      <c r="E67" s="4"/>
      <c r="F67" s="4"/>
    </row>
    <row r="68" spans="1:6" x14ac:dyDescent="0.3">
      <c r="A68" s="4"/>
      <c r="B68" s="4"/>
      <c r="C68" s="4"/>
      <c r="D68" s="4"/>
      <c r="E68" s="4"/>
      <c r="F68" s="4"/>
    </row>
    <row r="69" spans="1:6" x14ac:dyDescent="0.3">
      <c r="A69" s="4"/>
      <c r="B69" s="4"/>
      <c r="C69" s="4"/>
      <c r="D69" s="4"/>
      <c r="E69" s="4"/>
      <c r="F69" s="4"/>
    </row>
    <row r="70" spans="1:6" x14ac:dyDescent="0.3">
      <c r="A70" s="4"/>
      <c r="B70" s="4"/>
      <c r="C70" s="4"/>
      <c r="D70" s="4"/>
      <c r="E70" s="4"/>
      <c r="F70" s="4"/>
    </row>
    <row r="71" spans="1:6" x14ac:dyDescent="0.3">
      <c r="A71" s="4"/>
      <c r="B71" s="4"/>
      <c r="C71" s="4"/>
      <c r="D71" s="4"/>
      <c r="E71" s="4"/>
      <c r="F71" s="4"/>
    </row>
    <row r="72" spans="1:6" x14ac:dyDescent="0.3">
      <c r="A72" s="4"/>
      <c r="B72" s="4"/>
      <c r="C72" s="4"/>
      <c r="D72" s="4"/>
      <c r="E72" s="4"/>
      <c r="F72" s="4"/>
    </row>
    <row r="73" spans="1:6" x14ac:dyDescent="0.3">
      <c r="A73" s="4"/>
      <c r="B73" s="4"/>
      <c r="C73" s="4"/>
      <c r="D73" s="4"/>
      <c r="E73" s="4"/>
      <c r="F73" s="4"/>
    </row>
    <row r="74" spans="1:6" x14ac:dyDescent="0.3">
      <c r="A74" s="4"/>
      <c r="B74" s="4"/>
      <c r="C74" s="4"/>
      <c r="D74" s="4"/>
      <c r="E74" s="4"/>
      <c r="F74" s="4"/>
    </row>
    <row r="75" spans="1:6" x14ac:dyDescent="0.3">
      <c r="A75" s="4"/>
      <c r="B75" s="4"/>
      <c r="C75" s="4"/>
      <c r="D75" s="4"/>
      <c r="E75" s="4"/>
      <c r="F75" s="4"/>
    </row>
    <row r="76" spans="1:6" x14ac:dyDescent="0.3">
      <c r="A76" s="4"/>
      <c r="B76" s="4"/>
      <c r="C76" s="4"/>
      <c r="D76" s="4"/>
      <c r="E76" s="4"/>
      <c r="F76" s="4"/>
    </row>
    <row r="77" spans="1:6" x14ac:dyDescent="0.3">
      <c r="A77" s="4"/>
      <c r="B77" s="4"/>
      <c r="C77" s="4"/>
      <c r="D77" s="4"/>
      <c r="E77" s="4"/>
      <c r="F77" s="4"/>
    </row>
    <row r="78" spans="1:6" x14ac:dyDescent="0.3">
      <c r="A78" s="4"/>
      <c r="B78" s="4"/>
      <c r="C78" s="4"/>
      <c r="D78" s="4"/>
      <c r="E78" s="4"/>
      <c r="F78" s="4"/>
    </row>
    <row r="79" spans="1:6" x14ac:dyDescent="0.3">
      <c r="A79" s="4"/>
      <c r="B79" s="4"/>
      <c r="C79" s="4"/>
      <c r="D79" s="4"/>
      <c r="E79" s="4"/>
      <c r="F79" s="4"/>
    </row>
    <row r="80" spans="1:6" x14ac:dyDescent="0.3">
      <c r="A80" s="4"/>
      <c r="B80" s="4"/>
      <c r="C80" s="4"/>
      <c r="D80" s="4"/>
      <c r="E80" s="4"/>
      <c r="F80" s="4"/>
    </row>
    <row r="81" spans="1:6" x14ac:dyDescent="0.3">
      <c r="A81" s="4"/>
      <c r="B81" s="4"/>
      <c r="C81" s="4"/>
      <c r="D81" s="4"/>
      <c r="E81" s="4"/>
      <c r="F81" s="4"/>
    </row>
    <row r="82" spans="1:6" x14ac:dyDescent="0.3">
      <c r="A82" s="4"/>
      <c r="B82" s="4"/>
      <c r="C82" s="4"/>
      <c r="D82" s="4"/>
      <c r="E82" s="4"/>
      <c r="F82" s="4"/>
    </row>
    <row r="83" spans="1:6" x14ac:dyDescent="0.3">
      <c r="A83" s="4"/>
      <c r="B83" s="4"/>
      <c r="C83" s="4"/>
      <c r="D83" s="4"/>
      <c r="E83" s="4"/>
      <c r="F83" s="4"/>
    </row>
    <row r="84" spans="1:6" x14ac:dyDescent="0.3">
      <c r="A84" s="4"/>
      <c r="B84" s="4"/>
      <c r="C84" s="4"/>
      <c r="D84" s="4"/>
      <c r="E84" s="4"/>
      <c r="F84" s="4"/>
    </row>
    <row r="85" spans="1:6" x14ac:dyDescent="0.3">
      <c r="A85" s="4"/>
      <c r="B85" s="4"/>
      <c r="C85" s="4"/>
      <c r="D85" s="4"/>
      <c r="E85" s="4"/>
      <c r="F85" s="4"/>
    </row>
    <row r="86" spans="1:6" x14ac:dyDescent="0.3">
      <c r="A86" s="4"/>
      <c r="B86" s="4"/>
      <c r="C86" s="4"/>
      <c r="D86" s="4"/>
      <c r="E86" s="4"/>
      <c r="F86" s="4"/>
    </row>
    <row r="87" spans="1:6" x14ac:dyDescent="0.3">
      <c r="A87" s="4"/>
      <c r="B87" s="4"/>
      <c r="C87" s="4"/>
      <c r="D87" s="4"/>
      <c r="E87" s="4"/>
      <c r="F87" s="4"/>
    </row>
    <row r="88" spans="1:6" x14ac:dyDescent="0.3">
      <c r="A88" s="4"/>
      <c r="B88" s="4"/>
      <c r="C88" s="4"/>
      <c r="D88" s="4"/>
      <c r="E88" s="4"/>
      <c r="F88" s="4"/>
    </row>
    <row r="89" spans="1:6" x14ac:dyDescent="0.3">
      <c r="A89" s="4"/>
      <c r="B89" s="4"/>
      <c r="C89" s="4"/>
      <c r="D89" s="4"/>
      <c r="E89" s="4"/>
      <c r="F89" s="4"/>
    </row>
    <row r="90" spans="1:6" x14ac:dyDescent="0.3">
      <c r="A90" s="4"/>
      <c r="B90" s="4"/>
      <c r="C90" s="4"/>
      <c r="D90" s="4"/>
      <c r="E90" s="4"/>
      <c r="F90" s="4"/>
    </row>
    <row r="91" spans="1:6" x14ac:dyDescent="0.3">
      <c r="A91" s="4"/>
      <c r="B91" s="4"/>
      <c r="C91" s="4"/>
      <c r="D91" s="4"/>
      <c r="E91" s="4"/>
      <c r="F91" s="4"/>
    </row>
    <row r="92" spans="1:6" x14ac:dyDescent="0.3">
      <c r="A92" s="4"/>
      <c r="B92" s="4"/>
      <c r="C92" s="4"/>
      <c r="D92" s="4"/>
      <c r="E92" s="4"/>
      <c r="F92" s="4"/>
    </row>
    <row r="93" spans="1:6" x14ac:dyDescent="0.3">
      <c r="A93" s="4"/>
      <c r="B93" s="4"/>
      <c r="C93" s="4"/>
      <c r="D93" s="4"/>
      <c r="E93" s="4"/>
      <c r="F93" s="4"/>
    </row>
    <row r="94" spans="1:6" x14ac:dyDescent="0.3">
      <c r="A94" s="4"/>
      <c r="B94" s="4"/>
      <c r="C94" s="4"/>
      <c r="D94" s="4"/>
      <c r="E94" s="4"/>
      <c r="F94" s="4"/>
    </row>
    <row r="95" spans="1:6" x14ac:dyDescent="0.3">
      <c r="A95" s="4"/>
      <c r="B95" s="4"/>
      <c r="C95" s="4"/>
      <c r="D95" s="4"/>
      <c r="E95" s="4"/>
      <c r="F95" s="4"/>
    </row>
    <row r="96" spans="1:6" x14ac:dyDescent="0.3">
      <c r="A96" s="4"/>
      <c r="B96" s="4"/>
      <c r="C96" s="4"/>
      <c r="D96" s="4"/>
      <c r="E96" s="4"/>
      <c r="F96" s="4"/>
    </row>
    <row r="97" spans="1:6" x14ac:dyDescent="0.3">
      <c r="A97" s="4"/>
      <c r="B97" s="4"/>
      <c r="C97" s="4"/>
      <c r="D97" s="4"/>
      <c r="E97" s="4"/>
      <c r="F97" s="4"/>
    </row>
    <row r="98" spans="1:6" x14ac:dyDescent="0.3">
      <c r="A98" s="4"/>
      <c r="B98" s="4"/>
      <c r="C98" s="4"/>
      <c r="D98" s="4"/>
      <c r="E98" s="4"/>
      <c r="F98" s="4"/>
    </row>
    <row r="99" spans="1:6" x14ac:dyDescent="0.3">
      <c r="A99" s="4"/>
      <c r="B99" s="4"/>
      <c r="C99" s="4"/>
      <c r="D99" s="4"/>
      <c r="E99" s="4"/>
      <c r="F99" s="4"/>
    </row>
    <row r="100" spans="1:6" x14ac:dyDescent="0.3">
      <c r="A100" s="4"/>
      <c r="B100" s="4"/>
      <c r="C100" s="4"/>
      <c r="D100" s="4"/>
      <c r="E100" s="4"/>
      <c r="F100" s="4"/>
    </row>
  </sheetData>
  <mergeCells count="2">
    <mergeCell ref="A14:F14"/>
    <mergeCell ref="A25:F25"/>
  </mergeCells>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AD9F8-B578-4761-A415-B08E8FDC8BAB}">
  <dimension ref="A1:AL54"/>
  <sheetViews>
    <sheetView topLeftCell="O1" workbookViewId="0">
      <selection activeCell="U32" sqref="U32"/>
    </sheetView>
  </sheetViews>
  <sheetFormatPr defaultRowHeight="14.4" x14ac:dyDescent="0.3"/>
  <cols>
    <col min="1" max="1" width="12.44140625" bestFit="1" customWidth="1"/>
    <col min="2" max="2" width="54.109375" bestFit="1" customWidth="1"/>
    <col min="3" max="3" width="7.33203125" bestFit="1" customWidth="1"/>
    <col min="4" max="4" width="29.44140625" bestFit="1" customWidth="1"/>
    <col min="5" max="5" width="8.33203125" bestFit="1" customWidth="1"/>
    <col min="6" max="6" width="112.44140625" bestFit="1" customWidth="1"/>
    <col min="8" max="8" width="12.44140625" bestFit="1" customWidth="1"/>
    <col min="9" max="9" width="54.109375" bestFit="1" customWidth="1"/>
    <col min="10" max="10" width="7.33203125" bestFit="1" customWidth="1"/>
    <col min="11" max="11" width="29.44140625" bestFit="1" customWidth="1"/>
    <col min="12" max="12" width="8.33203125" bestFit="1" customWidth="1"/>
    <col min="13" max="13" width="80.88671875" bestFit="1" customWidth="1"/>
    <col min="14" max="14" width="50.109375" bestFit="1" customWidth="1"/>
    <col min="15" max="15" width="24.6640625" bestFit="1" customWidth="1"/>
    <col min="16" max="16" width="15.109375" bestFit="1" customWidth="1"/>
    <col min="17" max="17" width="17.6640625" bestFit="1" customWidth="1"/>
    <col min="18" max="18" width="15.21875" bestFit="1" customWidth="1"/>
    <col min="19" max="19" width="16.21875" bestFit="1" customWidth="1"/>
    <col min="21" max="21" width="58.77734375" bestFit="1" customWidth="1"/>
    <col min="22" max="23" width="9.21875" bestFit="1" customWidth="1"/>
    <col min="25" max="25" width="41.21875" bestFit="1" customWidth="1"/>
    <col min="26" max="27" width="9.21875" bestFit="1" customWidth="1"/>
    <col min="29" max="29" width="77.44140625" bestFit="1" customWidth="1"/>
    <col min="30" max="31" width="9.21875" bestFit="1" customWidth="1"/>
  </cols>
  <sheetData>
    <row r="1" spans="1:38" x14ac:dyDescent="0.3">
      <c r="A1" t="s">
        <v>399</v>
      </c>
      <c r="B1" t="s">
        <v>400</v>
      </c>
      <c r="C1" t="s">
        <v>49</v>
      </c>
      <c r="D1" t="s">
        <v>401</v>
      </c>
      <c r="E1" t="s">
        <v>402</v>
      </c>
      <c r="F1" t="s">
        <v>403</v>
      </c>
      <c r="H1" t="s">
        <v>399</v>
      </c>
      <c r="I1" t="s">
        <v>400</v>
      </c>
      <c r="J1" t="s">
        <v>49</v>
      </c>
      <c r="K1" t="s">
        <v>401</v>
      </c>
      <c r="L1" t="s">
        <v>402</v>
      </c>
      <c r="M1" t="s">
        <v>403</v>
      </c>
      <c r="N1" t="s">
        <v>451</v>
      </c>
      <c r="O1" t="s">
        <v>452</v>
      </c>
      <c r="P1" t="s">
        <v>453</v>
      </c>
      <c r="Q1" t="s">
        <v>454</v>
      </c>
      <c r="R1" t="s">
        <v>455</v>
      </c>
      <c r="S1" t="s">
        <v>456</v>
      </c>
      <c r="U1" t="s">
        <v>477</v>
      </c>
      <c r="V1" t="s">
        <v>9</v>
      </c>
      <c r="W1" t="s">
        <v>8</v>
      </c>
      <c r="Y1" t="s">
        <v>477</v>
      </c>
      <c r="Z1" t="s">
        <v>9</v>
      </c>
      <c r="AA1" t="s">
        <v>8</v>
      </c>
      <c r="AC1" t="s">
        <v>477</v>
      </c>
      <c r="AD1" t="s">
        <v>9</v>
      </c>
      <c r="AE1" t="s">
        <v>8</v>
      </c>
      <c r="AG1" t="s">
        <v>593</v>
      </c>
    </row>
    <row r="2" spans="1:38" x14ac:dyDescent="0.3">
      <c r="A2" s="5">
        <v>46160</v>
      </c>
      <c r="B2" t="s">
        <v>404</v>
      </c>
      <c r="C2" t="s">
        <v>405</v>
      </c>
      <c r="D2" t="s">
        <v>406</v>
      </c>
      <c r="E2">
        <v>219</v>
      </c>
      <c r="F2" t="s">
        <v>407</v>
      </c>
      <c r="H2" s="5">
        <v>46160</v>
      </c>
      <c r="I2" t="s">
        <v>404</v>
      </c>
      <c r="J2" t="s">
        <v>405</v>
      </c>
      <c r="K2" t="s">
        <v>406</v>
      </c>
      <c r="L2">
        <v>219</v>
      </c>
      <c r="M2" t="s">
        <v>407</v>
      </c>
      <c r="N2" t="s">
        <v>457</v>
      </c>
      <c r="O2" t="s">
        <v>458</v>
      </c>
      <c r="P2" t="b">
        <v>1</v>
      </c>
      <c r="Q2" t="b">
        <v>0</v>
      </c>
      <c r="R2" t="b">
        <v>0</v>
      </c>
      <c r="S2" t="b">
        <v>0</v>
      </c>
      <c r="U2" t="s">
        <v>19</v>
      </c>
      <c r="V2">
        <v>21207</v>
      </c>
      <c r="W2">
        <v>18909</v>
      </c>
      <c r="Y2" t="s">
        <v>500</v>
      </c>
      <c r="AC2" t="s">
        <v>542</v>
      </c>
    </row>
    <row r="3" spans="1:38" x14ac:dyDescent="0.3">
      <c r="A3" s="5">
        <v>45874</v>
      </c>
      <c r="B3" t="s">
        <v>408</v>
      </c>
      <c r="C3" t="s">
        <v>405</v>
      </c>
      <c r="D3" t="s">
        <v>409</v>
      </c>
      <c r="E3">
        <v>5</v>
      </c>
      <c r="F3" t="s">
        <v>410</v>
      </c>
      <c r="H3" s="5">
        <v>45874</v>
      </c>
      <c r="I3" t="s">
        <v>408</v>
      </c>
      <c r="J3" t="s">
        <v>405</v>
      </c>
      <c r="K3" t="s">
        <v>409</v>
      </c>
      <c r="L3">
        <v>5</v>
      </c>
      <c r="M3" t="s">
        <v>410</v>
      </c>
      <c r="N3" t="s">
        <v>459</v>
      </c>
      <c r="O3" t="s">
        <v>458</v>
      </c>
      <c r="P3" t="b">
        <v>1</v>
      </c>
      <c r="Q3" t="b">
        <v>0</v>
      </c>
      <c r="R3" t="b">
        <v>0</v>
      </c>
      <c r="S3" t="b">
        <v>0</v>
      </c>
      <c r="U3" t="s">
        <v>478</v>
      </c>
      <c r="V3">
        <v>-15032</v>
      </c>
      <c r="W3">
        <v>-14688</v>
      </c>
      <c r="Y3" t="s">
        <v>501</v>
      </c>
      <c r="Z3">
        <v>1028</v>
      </c>
      <c r="AA3">
        <v>1009</v>
      </c>
      <c r="AC3" t="s">
        <v>483</v>
      </c>
      <c r="AD3">
        <v>4468</v>
      </c>
      <c r="AE3">
        <v>2906</v>
      </c>
      <c r="AG3" t="s">
        <v>594</v>
      </c>
      <c r="AH3" t="s">
        <v>595</v>
      </c>
      <c r="AI3" t="s">
        <v>596</v>
      </c>
      <c r="AJ3" t="s">
        <v>9</v>
      </c>
      <c r="AK3" t="s">
        <v>8</v>
      </c>
      <c r="AL3" t="s">
        <v>597</v>
      </c>
    </row>
    <row r="4" spans="1:38" x14ac:dyDescent="0.3">
      <c r="A4" s="5">
        <v>45805</v>
      </c>
      <c r="B4" t="s">
        <v>404</v>
      </c>
      <c r="C4" t="s">
        <v>405</v>
      </c>
      <c r="D4" t="s">
        <v>411</v>
      </c>
      <c r="E4">
        <v>227</v>
      </c>
      <c r="F4" t="s">
        <v>412</v>
      </c>
      <c r="H4" s="5">
        <v>45805</v>
      </c>
      <c r="I4" t="s">
        <v>404</v>
      </c>
      <c r="J4" t="s">
        <v>405</v>
      </c>
      <c r="K4" t="s">
        <v>411</v>
      </c>
      <c r="L4">
        <v>227</v>
      </c>
      <c r="M4" t="s">
        <v>412</v>
      </c>
      <c r="N4" t="s">
        <v>460</v>
      </c>
      <c r="O4" t="s">
        <v>458</v>
      </c>
      <c r="P4" t="b">
        <v>1</v>
      </c>
      <c r="Q4" t="b">
        <v>0</v>
      </c>
      <c r="R4" t="b">
        <v>0</v>
      </c>
      <c r="S4" t="b">
        <v>0</v>
      </c>
      <c r="U4" t="s">
        <v>479</v>
      </c>
      <c r="V4">
        <v>6175</v>
      </c>
      <c r="W4">
        <v>4221</v>
      </c>
      <c r="Y4" t="s">
        <v>502</v>
      </c>
      <c r="Z4">
        <v>3570</v>
      </c>
      <c r="AA4">
        <v>3393</v>
      </c>
      <c r="AC4" t="s">
        <v>543</v>
      </c>
      <c r="AD4">
        <v>18</v>
      </c>
      <c r="AE4">
        <v>32</v>
      </c>
      <c r="AG4" t="s">
        <v>598</v>
      </c>
      <c r="AH4" t="s">
        <v>80</v>
      </c>
      <c r="AI4" t="s">
        <v>19</v>
      </c>
      <c r="AJ4">
        <f>_xlfn.XLOOKUP("*"&amp;$AI4&amp;"*",$U$2:$U$100,$V$2:$V$100,"",2)</f>
        <v>21207</v>
      </c>
      <c r="AK4">
        <f>_xlfn.XLOOKUP("*"&amp;$AI4&amp;"*",$U$2:$U$100,$W$2:$W$100,"",2)</f>
        <v>18909</v>
      </c>
      <c r="AL4" t="s">
        <v>599</v>
      </c>
    </row>
    <row r="5" spans="1:38" x14ac:dyDescent="0.3">
      <c r="A5" s="5">
        <v>45446</v>
      </c>
      <c r="B5" t="s">
        <v>404</v>
      </c>
      <c r="C5" t="s">
        <v>405</v>
      </c>
      <c r="D5" t="s">
        <v>413</v>
      </c>
      <c r="E5">
        <v>226</v>
      </c>
      <c r="F5" t="s">
        <v>414</v>
      </c>
      <c r="H5" s="5">
        <v>45446</v>
      </c>
      <c r="I5" t="s">
        <v>404</v>
      </c>
      <c r="J5" t="s">
        <v>405</v>
      </c>
      <c r="K5" t="s">
        <v>413</v>
      </c>
      <c r="L5">
        <v>226</v>
      </c>
      <c r="M5" t="s">
        <v>414</v>
      </c>
      <c r="N5" t="s">
        <v>461</v>
      </c>
      <c r="O5" t="s">
        <v>458</v>
      </c>
      <c r="P5" t="b">
        <v>1</v>
      </c>
      <c r="Q5" t="b">
        <v>0</v>
      </c>
      <c r="R5" t="b">
        <v>0</v>
      </c>
      <c r="S5" t="b">
        <v>0</v>
      </c>
      <c r="U5" t="s">
        <v>480</v>
      </c>
      <c r="V5">
        <v>-1268</v>
      </c>
      <c r="W5">
        <v>-1284</v>
      </c>
      <c r="Y5" t="s">
        <v>503</v>
      </c>
      <c r="Z5">
        <v>4013</v>
      </c>
      <c r="AA5">
        <v>3724</v>
      </c>
      <c r="AC5" t="s">
        <v>544</v>
      </c>
      <c r="AD5">
        <v>-2</v>
      </c>
      <c r="AE5">
        <v>6</v>
      </c>
      <c r="AG5" t="s">
        <v>598</v>
      </c>
      <c r="AH5" t="s">
        <v>22</v>
      </c>
      <c r="AI5" t="s">
        <v>483</v>
      </c>
      <c r="AJ5">
        <f t="shared" ref="AJ5:AJ10" si="0">_xlfn.XLOOKUP("*"&amp;$AI5&amp;"*",$U$2:$U$100,$V$2:$V$100,"",2)</f>
        <v>4468</v>
      </c>
      <c r="AK5">
        <f t="shared" ref="AK5:AK10" si="1">_xlfn.XLOOKUP("*"&amp;$AI5&amp;"*",$U$2:$U$100,$W$2:$W$100,"",2)</f>
        <v>2906</v>
      </c>
      <c r="AL5" t="s">
        <v>600</v>
      </c>
    </row>
    <row r="6" spans="1:38" x14ac:dyDescent="0.3">
      <c r="A6" s="5">
        <v>45082</v>
      </c>
      <c r="B6" t="s">
        <v>404</v>
      </c>
      <c r="C6" t="s">
        <v>405</v>
      </c>
      <c r="D6" t="s">
        <v>415</v>
      </c>
      <c r="E6">
        <v>216</v>
      </c>
      <c r="F6" t="s">
        <v>416</v>
      </c>
      <c r="H6" s="5">
        <v>45082</v>
      </c>
      <c r="I6" t="s">
        <v>404</v>
      </c>
      <c r="J6" t="s">
        <v>405</v>
      </c>
      <c r="K6" t="s">
        <v>415</v>
      </c>
      <c r="L6">
        <v>216</v>
      </c>
      <c r="M6" t="s">
        <v>416</v>
      </c>
      <c r="N6" t="s">
        <v>462</v>
      </c>
      <c r="O6" t="s">
        <v>458</v>
      </c>
      <c r="P6" t="b">
        <v>1</v>
      </c>
      <c r="Q6" t="b">
        <v>0</v>
      </c>
      <c r="R6" t="b">
        <v>0</v>
      </c>
      <c r="S6" t="b">
        <v>0</v>
      </c>
      <c r="U6" t="s">
        <v>481</v>
      </c>
      <c r="V6">
        <v>-495</v>
      </c>
      <c r="W6">
        <v>-203</v>
      </c>
      <c r="Y6" t="s">
        <v>504</v>
      </c>
      <c r="Z6">
        <v>759</v>
      </c>
      <c r="AA6">
        <v>761</v>
      </c>
      <c r="AC6" t="s">
        <v>482</v>
      </c>
      <c r="AD6">
        <v>-56</v>
      </c>
      <c r="AE6">
        <v>-172</v>
      </c>
      <c r="AG6" t="s">
        <v>598</v>
      </c>
      <c r="AH6" t="s">
        <v>87</v>
      </c>
      <c r="AI6" t="s">
        <v>601</v>
      </c>
      <c r="AJ6">
        <f t="shared" si="0"/>
        <v>809</v>
      </c>
      <c r="AK6">
        <f t="shared" si="1"/>
        <v>16</v>
      </c>
      <c r="AL6" t="s">
        <v>602</v>
      </c>
    </row>
    <row r="7" spans="1:38" x14ac:dyDescent="0.3">
      <c r="A7" s="5">
        <v>44733</v>
      </c>
      <c r="B7" t="s">
        <v>404</v>
      </c>
      <c r="C7" t="s">
        <v>405</v>
      </c>
      <c r="D7" t="s">
        <v>417</v>
      </c>
      <c r="E7">
        <v>225</v>
      </c>
      <c r="F7" t="s">
        <v>418</v>
      </c>
      <c r="H7" s="5">
        <v>44733</v>
      </c>
      <c r="I7" t="s">
        <v>404</v>
      </c>
      <c r="J7" t="s">
        <v>405</v>
      </c>
      <c r="K7" t="s">
        <v>417</v>
      </c>
      <c r="L7">
        <v>225</v>
      </c>
      <c r="M7" t="s">
        <v>418</v>
      </c>
      <c r="N7" t="s">
        <v>463</v>
      </c>
      <c r="O7" t="s">
        <v>458</v>
      </c>
      <c r="P7" t="b">
        <v>1</v>
      </c>
      <c r="Q7" t="b">
        <v>0</v>
      </c>
      <c r="R7" t="b">
        <v>0</v>
      </c>
      <c r="S7" t="b">
        <v>0</v>
      </c>
      <c r="U7" t="s">
        <v>482</v>
      </c>
      <c r="V7">
        <v>56</v>
      </c>
      <c r="W7">
        <v>172</v>
      </c>
      <c r="Y7" t="s">
        <v>505</v>
      </c>
      <c r="Z7">
        <v>1289</v>
      </c>
      <c r="AA7">
        <v>597</v>
      </c>
      <c r="AC7" t="s">
        <v>545</v>
      </c>
      <c r="AD7">
        <v>88</v>
      </c>
      <c r="AE7">
        <v>77</v>
      </c>
      <c r="AG7" t="s">
        <v>598</v>
      </c>
      <c r="AH7" t="s">
        <v>83</v>
      </c>
      <c r="AI7" t="s">
        <v>603</v>
      </c>
      <c r="AJ7">
        <f t="shared" si="0"/>
        <v>1658</v>
      </c>
      <c r="AK7">
        <f t="shared" si="1"/>
        <v>-688</v>
      </c>
      <c r="AL7" t="s">
        <v>604</v>
      </c>
    </row>
    <row r="8" spans="1:38" x14ac:dyDescent="0.3">
      <c r="A8" s="5">
        <v>44344</v>
      </c>
      <c r="B8" t="s">
        <v>404</v>
      </c>
      <c r="C8" t="s">
        <v>405</v>
      </c>
      <c r="D8" t="s">
        <v>419</v>
      </c>
      <c r="E8">
        <v>215</v>
      </c>
      <c r="F8" t="s">
        <v>420</v>
      </c>
      <c r="H8" s="5">
        <v>44344</v>
      </c>
      <c r="I8" t="s">
        <v>404</v>
      </c>
      <c r="J8" t="s">
        <v>405</v>
      </c>
      <c r="K8" t="s">
        <v>419</v>
      </c>
      <c r="L8">
        <v>215</v>
      </c>
      <c r="M8" t="s">
        <v>420</v>
      </c>
      <c r="N8" t="s">
        <v>464</v>
      </c>
      <c r="O8" t="s">
        <v>458</v>
      </c>
      <c r="P8" t="b">
        <v>1</v>
      </c>
      <c r="Q8" t="b">
        <v>0</v>
      </c>
      <c r="R8" t="b">
        <v>0</v>
      </c>
      <c r="S8" t="b">
        <v>0</v>
      </c>
      <c r="U8" t="s">
        <v>483</v>
      </c>
      <c r="V8">
        <v>4468</v>
      </c>
      <c r="W8">
        <v>2906</v>
      </c>
      <c r="Y8" t="s">
        <v>506</v>
      </c>
      <c r="Z8">
        <v>523</v>
      </c>
      <c r="AA8">
        <v>126</v>
      </c>
      <c r="AC8" t="s">
        <v>546</v>
      </c>
      <c r="AE8">
        <v>13</v>
      </c>
      <c r="AG8" t="s">
        <v>598</v>
      </c>
      <c r="AH8" t="s">
        <v>24</v>
      </c>
      <c r="AI8" t="s">
        <v>489</v>
      </c>
      <c r="AJ8">
        <f t="shared" si="0"/>
        <v>6935</v>
      </c>
      <c r="AK8">
        <f t="shared" si="1"/>
        <v>2234</v>
      </c>
      <c r="AL8" t="s">
        <v>605</v>
      </c>
    </row>
    <row r="9" spans="1:38" x14ac:dyDescent="0.3">
      <c r="A9" s="5">
        <v>44020</v>
      </c>
      <c r="B9" t="s">
        <v>404</v>
      </c>
      <c r="C9" t="s">
        <v>405</v>
      </c>
      <c r="D9" t="s">
        <v>421</v>
      </c>
      <c r="E9">
        <v>214</v>
      </c>
      <c r="F9" t="s">
        <v>422</v>
      </c>
      <c r="H9" s="5">
        <v>44020</v>
      </c>
      <c r="I9" t="s">
        <v>404</v>
      </c>
      <c r="J9" t="s">
        <v>405</v>
      </c>
      <c r="K9" t="s">
        <v>421</v>
      </c>
      <c r="L9">
        <v>214</v>
      </c>
      <c r="M9" t="s">
        <v>422</v>
      </c>
      <c r="N9" t="s">
        <v>465</v>
      </c>
      <c r="O9" t="s">
        <v>458</v>
      </c>
      <c r="P9" t="b">
        <v>1</v>
      </c>
      <c r="Q9" t="b">
        <v>0</v>
      </c>
      <c r="R9" t="b">
        <v>0</v>
      </c>
      <c r="S9" t="b">
        <v>0</v>
      </c>
      <c r="U9" t="s">
        <v>484</v>
      </c>
      <c r="V9">
        <v>809</v>
      </c>
      <c r="W9">
        <v>16</v>
      </c>
      <c r="Y9" t="s">
        <v>507</v>
      </c>
      <c r="Z9">
        <v>3460</v>
      </c>
      <c r="AA9">
        <v>3660</v>
      </c>
      <c r="AC9" t="s">
        <v>547</v>
      </c>
      <c r="AD9">
        <v>241</v>
      </c>
      <c r="AE9">
        <v>-133</v>
      </c>
      <c r="AG9" t="s">
        <v>598</v>
      </c>
      <c r="AH9" t="s">
        <v>94</v>
      </c>
      <c r="AI9" t="s">
        <v>490</v>
      </c>
      <c r="AJ9">
        <f>_xlfn.XLOOKUP($AI9,$U$2:$U$100,$V$2:$V$100,"",0)</f>
        <v>-1099</v>
      </c>
      <c r="AK9">
        <f>_xlfn.XLOOKUP($AI9,$U$2:$U$100,$W$2:$W$100,"",0)</f>
        <v>250</v>
      </c>
      <c r="AL9" t="s">
        <v>606</v>
      </c>
    </row>
    <row r="10" spans="1:38" x14ac:dyDescent="0.3">
      <c r="A10" s="5">
        <v>43607</v>
      </c>
      <c r="B10" t="s">
        <v>404</v>
      </c>
      <c r="C10" t="s">
        <v>405</v>
      </c>
      <c r="D10" t="s">
        <v>423</v>
      </c>
      <c r="E10">
        <v>210</v>
      </c>
      <c r="F10" t="s">
        <v>424</v>
      </c>
      <c r="H10" s="5">
        <v>43607</v>
      </c>
      <c r="I10" t="s">
        <v>404</v>
      </c>
      <c r="J10" t="s">
        <v>405</v>
      </c>
      <c r="K10" t="s">
        <v>423</v>
      </c>
      <c r="L10">
        <v>210</v>
      </c>
      <c r="M10" t="s">
        <v>424</v>
      </c>
      <c r="N10" t="s">
        <v>466</v>
      </c>
      <c r="O10" t="s">
        <v>458</v>
      </c>
      <c r="P10" t="b">
        <v>1</v>
      </c>
      <c r="Q10" t="b">
        <v>0</v>
      </c>
      <c r="R10" t="b">
        <v>0</v>
      </c>
      <c r="S10" t="b">
        <v>0</v>
      </c>
      <c r="U10" t="s">
        <v>485</v>
      </c>
      <c r="V10">
        <v>5277</v>
      </c>
      <c r="W10">
        <v>2922</v>
      </c>
      <c r="Y10" t="s">
        <v>508</v>
      </c>
      <c r="Z10">
        <v>286</v>
      </c>
      <c r="AA10">
        <v>790</v>
      </c>
      <c r="AC10" t="s">
        <v>548</v>
      </c>
      <c r="AD10">
        <v>338</v>
      </c>
      <c r="AE10">
        <v>400</v>
      </c>
      <c r="AG10" t="s">
        <v>598</v>
      </c>
      <c r="AH10" t="s">
        <v>86</v>
      </c>
      <c r="AI10" t="s">
        <v>493</v>
      </c>
      <c r="AJ10">
        <f t="shared" si="0"/>
        <v>5841</v>
      </c>
      <c r="AK10">
        <f t="shared" si="1"/>
        <v>2521</v>
      </c>
      <c r="AL10" t="s">
        <v>607</v>
      </c>
    </row>
    <row r="11" spans="1:38" x14ac:dyDescent="0.3">
      <c r="A11" s="5">
        <v>43238</v>
      </c>
      <c r="B11" t="s">
        <v>425</v>
      </c>
      <c r="C11" t="s">
        <v>426</v>
      </c>
      <c r="D11" t="s">
        <v>427</v>
      </c>
      <c r="E11">
        <v>209</v>
      </c>
      <c r="F11" t="s">
        <v>428</v>
      </c>
      <c r="H11" s="5">
        <v>43238</v>
      </c>
      <c r="I11" t="s">
        <v>425</v>
      </c>
      <c r="J11" t="s">
        <v>426</v>
      </c>
      <c r="K11" t="s">
        <v>427</v>
      </c>
      <c r="L11">
        <v>209</v>
      </c>
      <c r="M11" t="s">
        <v>428</v>
      </c>
      <c r="N11" t="s">
        <v>467</v>
      </c>
      <c r="O11" t="s">
        <v>458</v>
      </c>
      <c r="P11" t="b">
        <v>1</v>
      </c>
      <c r="Q11" t="b">
        <v>0</v>
      </c>
      <c r="R11" t="b">
        <v>0</v>
      </c>
      <c r="S11" t="b">
        <v>0</v>
      </c>
      <c r="U11" t="s">
        <v>486</v>
      </c>
      <c r="V11">
        <v>2137</v>
      </c>
      <c r="W11">
        <v>536</v>
      </c>
      <c r="Y11" t="s">
        <v>509</v>
      </c>
      <c r="Z11">
        <v>14928</v>
      </c>
      <c r="AA11">
        <v>14060</v>
      </c>
      <c r="AC11" t="s">
        <v>549</v>
      </c>
      <c r="AD11">
        <v>158</v>
      </c>
      <c r="AE11">
        <v>265</v>
      </c>
    </row>
    <row r="12" spans="1:38" x14ac:dyDescent="0.3">
      <c r="A12" s="5">
        <v>43195</v>
      </c>
      <c r="B12" t="s">
        <v>404</v>
      </c>
      <c r="C12" t="s">
        <v>405</v>
      </c>
      <c r="D12" t="s">
        <v>429</v>
      </c>
      <c r="E12">
        <v>208</v>
      </c>
      <c r="F12" t="s">
        <v>430</v>
      </c>
      <c r="H12" s="5">
        <v>43195</v>
      </c>
      <c r="I12" t="s">
        <v>404</v>
      </c>
      <c r="J12" t="s">
        <v>405</v>
      </c>
      <c r="K12" t="s">
        <v>429</v>
      </c>
      <c r="L12">
        <v>208</v>
      </c>
      <c r="M12" t="s">
        <v>430</v>
      </c>
      <c r="N12" t="s">
        <v>468</v>
      </c>
      <c r="O12" t="s">
        <v>458</v>
      </c>
      <c r="P12" t="b">
        <v>1</v>
      </c>
      <c r="Q12" t="b">
        <v>0</v>
      </c>
      <c r="R12" t="b">
        <v>0</v>
      </c>
      <c r="S12" t="b">
        <v>0</v>
      </c>
      <c r="U12" t="s">
        <v>487</v>
      </c>
      <c r="V12">
        <v>-479</v>
      </c>
      <c r="W12">
        <v>-1224</v>
      </c>
      <c r="Y12" t="s">
        <v>510</v>
      </c>
      <c r="Z12">
        <v>5728</v>
      </c>
      <c r="AA12">
        <v>5092</v>
      </c>
      <c r="AC12" t="s">
        <v>550</v>
      </c>
      <c r="AE12">
        <v>-6</v>
      </c>
      <c r="AG12" t="s">
        <v>608</v>
      </c>
      <c r="AH12" t="s">
        <v>33</v>
      </c>
      <c r="AI12" t="s">
        <v>514</v>
      </c>
      <c r="AJ12">
        <f>_xlfn.XLOOKUP("*"&amp;$AI12&amp;"*",$Y$2:$Y$100,$Z$2:$Z$100,"",2)</f>
        <v>6244</v>
      </c>
      <c r="AK12">
        <f>_xlfn.XLOOKUP("*"&amp;$AI12&amp;"*",$Y$2:$Y$100,$AA$2:$AA$100,"",2)</f>
        <v>5575</v>
      </c>
      <c r="AL12" t="s">
        <v>609</v>
      </c>
    </row>
    <row r="13" spans="1:38" x14ac:dyDescent="0.3">
      <c r="A13" s="5">
        <v>42867</v>
      </c>
      <c r="B13" t="s">
        <v>404</v>
      </c>
      <c r="C13" t="s">
        <v>405</v>
      </c>
      <c r="D13" t="s">
        <v>431</v>
      </c>
      <c r="E13">
        <v>196</v>
      </c>
      <c r="F13" t="s">
        <v>432</v>
      </c>
      <c r="H13" s="5">
        <v>42867</v>
      </c>
      <c r="I13" t="s">
        <v>404</v>
      </c>
      <c r="J13" t="s">
        <v>405</v>
      </c>
      <c r="K13" t="s">
        <v>431</v>
      </c>
      <c r="L13">
        <v>196</v>
      </c>
      <c r="M13" t="s">
        <v>432</v>
      </c>
      <c r="N13" t="s">
        <v>469</v>
      </c>
      <c r="O13" t="s">
        <v>458</v>
      </c>
      <c r="P13" t="b">
        <v>1</v>
      </c>
      <c r="Q13" t="b">
        <v>0</v>
      </c>
      <c r="R13" t="b">
        <v>0</v>
      </c>
      <c r="S13" t="b">
        <v>0</v>
      </c>
      <c r="U13" t="s">
        <v>488</v>
      </c>
      <c r="V13">
        <v>1658</v>
      </c>
      <c r="W13">
        <v>-688</v>
      </c>
      <c r="Y13" t="s">
        <v>511</v>
      </c>
      <c r="Z13">
        <v>8946</v>
      </c>
      <c r="AA13">
        <v>8713</v>
      </c>
      <c r="AC13" t="s">
        <v>551</v>
      </c>
      <c r="AE13">
        <v>4</v>
      </c>
      <c r="AG13" t="s">
        <v>608</v>
      </c>
      <c r="AH13" t="s">
        <v>610</v>
      </c>
      <c r="AI13" t="s">
        <v>517</v>
      </c>
      <c r="AJ13">
        <f t="shared" ref="AJ13:AJ17" si="2">_xlfn.XLOOKUP("*"&amp;$AI13&amp;"*",$Y$2:$Y$100,$Z$2:$Z$100,"",2)</f>
        <v>38115</v>
      </c>
      <c r="AK13">
        <f t="shared" ref="AK13:AK17" si="3">_xlfn.XLOOKUP("*"&amp;$AI13&amp;"*",$Y$2:$Y$100,$AA$2:$AA$100,"",2)</f>
        <v>35686</v>
      </c>
      <c r="AL13" t="s">
        <v>611</v>
      </c>
    </row>
    <row r="14" spans="1:38" x14ac:dyDescent="0.3">
      <c r="A14" s="5">
        <v>42538</v>
      </c>
      <c r="B14" t="s">
        <v>404</v>
      </c>
      <c r="C14" t="s">
        <v>405</v>
      </c>
      <c r="D14" t="s">
        <v>433</v>
      </c>
      <c r="E14">
        <v>188</v>
      </c>
      <c r="F14" t="s">
        <v>434</v>
      </c>
      <c r="H14" s="5">
        <v>42538</v>
      </c>
      <c r="I14" t="s">
        <v>404</v>
      </c>
      <c r="J14" t="s">
        <v>405</v>
      </c>
      <c r="K14" t="s">
        <v>433</v>
      </c>
      <c r="L14">
        <v>188</v>
      </c>
      <c r="M14" t="s">
        <v>434</v>
      </c>
      <c r="N14" t="s">
        <v>470</v>
      </c>
      <c r="O14" t="s">
        <v>458</v>
      </c>
      <c r="P14" t="b">
        <v>1</v>
      </c>
      <c r="Q14" t="b">
        <v>0</v>
      </c>
      <c r="R14" t="b">
        <v>0</v>
      </c>
      <c r="S14" t="b">
        <v>0</v>
      </c>
      <c r="U14" t="s">
        <v>489</v>
      </c>
      <c r="V14">
        <v>6935</v>
      </c>
      <c r="W14">
        <v>2234</v>
      </c>
      <c r="Y14" t="s">
        <v>512</v>
      </c>
      <c r="Z14">
        <v>1897</v>
      </c>
      <c r="AA14">
        <v>1813</v>
      </c>
      <c r="AC14" t="s">
        <v>552</v>
      </c>
      <c r="AD14">
        <v>-486</v>
      </c>
      <c r="AE14">
        <v>-56</v>
      </c>
      <c r="AG14" t="s">
        <v>608</v>
      </c>
      <c r="AH14" t="s">
        <v>612</v>
      </c>
      <c r="AI14" s="3" t="s">
        <v>515</v>
      </c>
      <c r="AJ14">
        <f t="shared" si="2"/>
        <v>14928</v>
      </c>
      <c r="AK14">
        <f t="shared" si="3"/>
        <v>14060</v>
      </c>
      <c r="AL14" t="s">
        <v>611</v>
      </c>
    </row>
    <row r="15" spans="1:38" x14ac:dyDescent="0.3">
      <c r="A15" s="5">
        <v>42158</v>
      </c>
      <c r="B15" t="s">
        <v>404</v>
      </c>
      <c r="C15" t="s">
        <v>405</v>
      </c>
      <c r="D15" t="s">
        <v>435</v>
      </c>
      <c r="E15">
        <v>172</v>
      </c>
      <c r="F15" t="s">
        <v>436</v>
      </c>
      <c r="H15" s="5">
        <v>42158</v>
      </c>
      <c r="I15" t="s">
        <v>404</v>
      </c>
      <c r="J15" t="s">
        <v>405</v>
      </c>
      <c r="K15" t="s">
        <v>435</v>
      </c>
      <c r="L15">
        <v>172</v>
      </c>
      <c r="M15" t="s">
        <v>436</v>
      </c>
      <c r="N15" t="s">
        <v>471</v>
      </c>
      <c r="O15" t="s">
        <v>458</v>
      </c>
      <c r="P15" t="b">
        <v>1</v>
      </c>
      <c r="Q15" t="b">
        <v>0</v>
      </c>
      <c r="R15" t="b">
        <v>0</v>
      </c>
      <c r="S15" t="b">
        <v>0</v>
      </c>
      <c r="U15" t="s">
        <v>490</v>
      </c>
      <c r="V15">
        <v>-1099</v>
      </c>
      <c r="W15">
        <v>250</v>
      </c>
      <c r="Y15" t="s">
        <v>513</v>
      </c>
      <c r="Z15">
        <v>75</v>
      </c>
      <c r="AA15">
        <v>71</v>
      </c>
      <c r="AC15" t="s">
        <v>553</v>
      </c>
      <c r="AD15">
        <v>-685</v>
      </c>
      <c r="AE15">
        <v>-323</v>
      </c>
      <c r="AG15" t="s">
        <v>608</v>
      </c>
      <c r="AH15" t="s">
        <v>613</v>
      </c>
      <c r="AI15" s="3" t="s">
        <v>525</v>
      </c>
      <c r="AJ15">
        <f t="shared" si="2"/>
        <v>-19287</v>
      </c>
      <c r="AK15">
        <f t="shared" si="3"/>
        <v>-16763</v>
      </c>
      <c r="AL15" t="s">
        <v>611</v>
      </c>
    </row>
    <row r="16" spans="1:38" x14ac:dyDescent="0.3">
      <c r="A16" s="5">
        <v>41761</v>
      </c>
      <c r="B16" t="s">
        <v>404</v>
      </c>
      <c r="C16" t="s">
        <v>405</v>
      </c>
      <c r="D16" t="s">
        <v>437</v>
      </c>
      <c r="E16">
        <v>144</v>
      </c>
      <c r="F16" t="s">
        <v>438</v>
      </c>
      <c r="H16" s="5">
        <v>41761</v>
      </c>
      <c r="I16" t="s">
        <v>404</v>
      </c>
      <c r="J16" t="s">
        <v>405</v>
      </c>
      <c r="K16" t="s">
        <v>437</v>
      </c>
      <c r="L16">
        <v>144</v>
      </c>
      <c r="M16" t="s">
        <v>438</v>
      </c>
      <c r="N16" t="s">
        <v>472</v>
      </c>
      <c r="O16" t="s">
        <v>458</v>
      </c>
      <c r="P16" t="b">
        <v>1</v>
      </c>
      <c r="Q16" t="b">
        <v>0</v>
      </c>
      <c r="R16" t="b">
        <v>0</v>
      </c>
      <c r="S16" t="b">
        <v>0</v>
      </c>
      <c r="U16" t="s">
        <v>491</v>
      </c>
      <c r="V16">
        <v>5836</v>
      </c>
      <c r="W16">
        <v>2484</v>
      </c>
      <c r="Y16" t="s">
        <v>506</v>
      </c>
      <c r="Z16">
        <v>282</v>
      </c>
      <c r="AA16">
        <v>209</v>
      </c>
      <c r="AC16" t="s">
        <v>554</v>
      </c>
      <c r="AD16">
        <v>763</v>
      </c>
      <c r="AE16">
        <v>833</v>
      </c>
      <c r="AG16" t="s">
        <v>608</v>
      </c>
      <c r="AH16" t="s">
        <v>614</v>
      </c>
      <c r="AI16" s="3" t="s">
        <v>530</v>
      </c>
      <c r="AJ16">
        <f t="shared" si="2"/>
        <v>-35362</v>
      </c>
      <c r="AK16">
        <f t="shared" si="3"/>
        <v>-36567</v>
      </c>
      <c r="AL16" t="s">
        <v>611</v>
      </c>
    </row>
    <row r="17" spans="1:38" x14ac:dyDescent="0.3">
      <c r="A17" s="5">
        <v>41407</v>
      </c>
      <c r="B17" t="s">
        <v>404</v>
      </c>
      <c r="C17" t="s">
        <v>405</v>
      </c>
      <c r="D17" t="s">
        <v>439</v>
      </c>
      <c r="E17">
        <v>136</v>
      </c>
      <c r="F17" t="s">
        <v>440</v>
      </c>
      <c r="H17" s="5">
        <v>41407</v>
      </c>
      <c r="I17" t="s">
        <v>404</v>
      </c>
      <c r="J17" t="s">
        <v>405</v>
      </c>
      <c r="K17" t="s">
        <v>439</v>
      </c>
      <c r="L17">
        <v>136</v>
      </c>
      <c r="M17" t="s">
        <v>440</v>
      </c>
      <c r="N17" t="s">
        <v>473</v>
      </c>
      <c r="O17" t="s">
        <v>458</v>
      </c>
      <c r="P17" t="b">
        <v>1</v>
      </c>
      <c r="Q17" t="b">
        <v>0</v>
      </c>
      <c r="R17" t="b">
        <v>0</v>
      </c>
      <c r="S17" t="b">
        <v>0</v>
      </c>
      <c r="U17" t="s">
        <v>492</v>
      </c>
      <c r="Y17" t="s">
        <v>514</v>
      </c>
      <c r="Z17">
        <v>6244</v>
      </c>
      <c r="AA17">
        <v>5575</v>
      </c>
      <c r="AC17" t="s">
        <v>555</v>
      </c>
      <c r="AD17">
        <v>704</v>
      </c>
      <c r="AE17">
        <v>752</v>
      </c>
      <c r="AG17" t="s">
        <v>608</v>
      </c>
      <c r="AH17" t="s">
        <v>615</v>
      </c>
      <c r="AI17" s="3" t="s">
        <v>531</v>
      </c>
      <c r="AJ17">
        <f t="shared" si="2"/>
        <v>2753</v>
      </c>
      <c r="AK17">
        <f t="shared" si="3"/>
        <v>-881</v>
      </c>
      <c r="AL17" t="s">
        <v>611</v>
      </c>
    </row>
    <row r="18" spans="1:38" x14ac:dyDescent="0.3">
      <c r="A18" s="5">
        <v>41022</v>
      </c>
      <c r="B18" t="s">
        <v>404</v>
      </c>
      <c r="C18" t="s">
        <v>405</v>
      </c>
      <c r="D18" t="s">
        <v>441</v>
      </c>
      <c r="E18">
        <v>134</v>
      </c>
      <c r="F18" t="s">
        <v>442</v>
      </c>
      <c r="H18" s="5">
        <v>41022</v>
      </c>
      <c r="I18" t="s">
        <v>404</v>
      </c>
      <c r="J18" t="s">
        <v>405</v>
      </c>
      <c r="K18" t="s">
        <v>441</v>
      </c>
      <c r="L18">
        <v>134</v>
      </c>
      <c r="M18" t="s">
        <v>442</v>
      </c>
      <c r="N18" t="s">
        <v>474</v>
      </c>
      <c r="O18" t="s">
        <v>458</v>
      </c>
      <c r="P18" t="b">
        <v>1</v>
      </c>
      <c r="Q18" t="b">
        <v>0</v>
      </c>
      <c r="R18" t="b">
        <v>0</v>
      </c>
      <c r="S18" t="b">
        <v>0</v>
      </c>
      <c r="U18" t="s">
        <v>493</v>
      </c>
      <c r="V18">
        <v>5841</v>
      </c>
      <c r="W18">
        <v>2521</v>
      </c>
      <c r="Y18" t="s">
        <v>515</v>
      </c>
      <c r="Z18">
        <v>23172</v>
      </c>
      <c r="AA18">
        <v>21473</v>
      </c>
      <c r="AC18" t="s">
        <v>556</v>
      </c>
      <c r="AD18">
        <v>-578</v>
      </c>
      <c r="AE18">
        <v>-676</v>
      </c>
    </row>
    <row r="19" spans="1:38" x14ac:dyDescent="0.3">
      <c r="A19" s="5">
        <v>40716</v>
      </c>
      <c r="B19" t="s">
        <v>443</v>
      </c>
      <c r="C19" t="s">
        <v>444</v>
      </c>
      <c r="D19" t="s">
        <v>445</v>
      </c>
      <c r="E19">
        <v>1</v>
      </c>
      <c r="F19" t="s">
        <v>446</v>
      </c>
      <c r="H19" s="5">
        <v>40716</v>
      </c>
      <c r="I19" t="s">
        <v>443</v>
      </c>
      <c r="J19" t="s">
        <v>444</v>
      </c>
      <c r="K19" t="s">
        <v>445</v>
      </c>
      <c r="L19">
        <v>1</v>
      </c>
      <c r="M19" t="s">
        <v>446</v>
      </c>
      <c r="N19" t="s">
        <v>475</v>
      </c>
      <c r="O19" t="s">
        <v>458</v>
      </c>
      <c r="P19" t="b">
        <v>1</v>
      </c>
      <c r="Q19" t="b">
        <v>0</v>
      </c>
      <c r="R19" t="b">
        <v>0</v>
      </c>
      <c r="S19" t="b">
        <v>0</v>
      </c>
      <c r="U19" t="s">
        <v>494</v>
      </c>
      <c r="V19">
        <v>-5</v>
      </c>
      <c r="W19">
        <v>-37</v>
      </c>
      <c r="Y19" t="s">
        <v>516</v>
      </c>
      <c r="Z19">
        <v>15</v>
      </c>
      <c r="AA19">
        <v>153</v>
      </c>
      <c r="AC19" t="s">
        <v>557</v>
      </c>
      <c r="AD19">
        <v>-148</v>
      </c>
      <c r="AE19">
        <v>-146</v>
      </c>
    </row>
    <row r="20" spans="1:38" x14ac:dyDescent="0.3">
      <c r="A20" s="5">
        <v>40610</v>
      </c>
      <c r="B20" t="s">
        <v>447</v>
      </c>
      <c r="C20" t="s">
        <v>448</v>
      </c>
      <c r="D20" t="s">
        <v>449</v>
      </c>
      <c r="E20">
        <v>2</v>
      </c>
      <c r="F20" t="s">
        <v>450</v>
      </c>
      <c r="H20" s="5">
        <v>40610</v>
      </c>
      <c r="I20" t="s">
        <v>447</v>
      </c>
      <c r="J20" t="s">
        <v>448</v>
      </c>
      <c r="K20" t="s">
        <v>449</v>
      </c>
      <c r="L20">
        <v>2</v>
      </c>
      <c r="M20" t="s">
        <v>450</v>
      </c>
      <c r="N20" t="s">
        <v>476</v>
      </c>
      <c r="O20" t="s">
        <v>458</v>
      </c>
      <c r="P20" t="b">
        <v>1</v>
      </c>
      <c r="Q20" t="b">
        <v>0</v>
      </c>
      <c r="R20" t="b">
        <v>0</v>
      </c>
      <c r="S20" t="b">
        <v>0</v>
      </c>
      <c r="U20" t="s">
        <v>491</v>
      </c>
      <c r="V20">
        <v>5836</v>
      </c>
      <c r="W20">
        <v>2484</v>
      </c>
      <c r="Y20" t="s">
        <v>517</v>
      </c>
      <c r="Z20">
        <v>38115</v>
      </c>
      <c r="AA20">
        <v>35686</v>
      </c>
      <c r="AC20" t="s">
        <v>558</v>
      </c>
      <c r="AD20">
        <v>270</v>
      </c>
      <c r="AE20">
        <v>269</v>
      </c>
    </row>
    <row r="21" spans="1:38" x14ac:dyDescent="0.3">
      <c r="U21" t="s">
        <v>495</v>
      </c>
      <c r="V21">
        <v>-545</v>
      </c>
      <c r="W21">
        <v>50</v>
      </c>
      <c r="Y21" t="s">
        <v>518</v>
      </c>
      <c r="AC21" t="s">
        <v>559</v>
      </c>
      <c r="AD21">
        <v>42</v>
      </c>
      <c r="AE21">
        <v>56</v>
      </c>
    </row>
    <row r="22" spans="1:38" x14ac:dyDescent="0.3">
      <c r="U22" t="s">
        <v>496</v>
      </c>
      <c r="V22">
        <v>5291</v>
      </c>
      <c r="W22">
        <v>2534</v>
      </c>
      <c r="Y22" t="s">
        <v>519</v>
      </c>
      <c r="Z22">
        <v>-1426</v>
      </c>
      <c r="AA22">
        <v>-1097</v>
      </c>
      <c r="AC22" t="s">
        <v>560</v>
      </c>
      <c r="AD22">
        <v>-84</v>
      </c>
      <c r="AE22">
        <v>-74</v>
      </c>
    </row>
    <row r="23" spans="1:38" x14ac:dyDescent="0.3">
      <c r="U23" t="s">
        <v>497</v>
      </c>
      <c r="Y23" t="s">
        <v>520</v>
      </c>
      <c r="Z23">
        <v>-293</v>
      </c>
      <c r="AA23">
        <v>-642</v>
      </c>
      <c r="AC23" t="s">
        <v>561</v>
      </c>
      <c r="AD23">
        <v>104</v>
      </c>
      <c r="AE23">
        <v>136</v>
      </c>
    </row>
    <row r="24" spans="1:38" x14ac:dyDescent="0.3">
      <c r="U24" t="s">
        <v>498</v>
      </c>
      <c r="Y24" t="s">
        <v>521</v>
      </c>
      <c r="Z24">
        <v>-8863</v>
      </c>
      <c r="AA24">
        <v>-8009</v>
      </c>
      <c r="AC24" t="s">
        <v>562</v>
      </c>
      <c r="AD24">
        <v>5155</v>
      </c>
      <c r="AE24">
        <v>4163</v>
      </c>
    </row>
    <row r="25" spans="1:38" x14ac:dyDescent="0.3">
      <c r="U25" t="s">
        <v>499</v>
      </c>
      <c r="Y25" t="s">
        <v>522</v>
      </c>
      <c r="Z25">
        <v>-7832</v>
      </c>
      <c r="AA25">
        <v>-6309</v>
      </c>
      <c r="AC25" t="s">
        <v>563</v>
      </c>
      <c r="AD25">
        <v>-590</v>
      </c>
      <c r="AE25">
        <v>-381</v>
      </c>
    </row>
    <row r="26" spans="1:38" x14ac:dyDescent="0.3">
      <c r="Y26" t="s">
        <v>523</v>
      </c>
      <c r="Z26">
        <v>-366</v>
      </c>
      <c r="AA26">
        <v>-117</v>
      </c>
      <c r="AC26" t="s">
        <v>564</v>
      </c>
      <c r="AD26">
        <v>4565</v>
      </c>
      <c r="AE26">
        <v>3782</v>
      </c>
    </row>
    <row r="27" spans="1:38" x14ac:dyDescent="0.3">
      <c r="Y27" t="s">
        <v>524</v>
      </c>
      <c r="Z27">
        <v>-507</v>
      </c>
      <c r="AA27">
        <v>-589</v>
      </c>
      <c r="AC27" t="s">
        <v>565</v>
      </c>
    </row>
    <row r="28" spans="1:38" x14ac:dyDescent="0.3">
      <c r="Y28" t="s">
        <v>525</v>
      </c>
      <c r="Z28">
        <v>-19287</v>
      </c>
      <c r="AA28">
        <v>-16763</v>
      </c>
      <c r="AC28" t="s">
        <v>566</v>
      </c>
      <c r="AD28">
        <v>-364</v>
      </c>
      <c r="AE28">
        <v>-367</v>
      </c>
    </row>
    <row r="29" spans="1:38" x14ac:dyDescent="0.3">
      <c r="Y29" t="s">
        <v>519</v>
      </c>
      <c r="Z29">
        <v>-2846</v>
      </c>
      <c r="AA29">
        <v>-4035</v>
      </c>
      <c r="AC29" t="s">
        <v>567</v>
      </c>
      <c r="AD29">
        <v>5</v>
      </c>
      <c r="AE29">
        <v>5</v>
      </c>
    </row>
    <row r="30" spans="1:38" x14ac:dyDescent="0.3">
      <c r="Y30" t="s">
        <v>520</v>
      </c>
      <c r="Z30">
        <v>-627</v>
      </c>
      <c r="AA30">
        <v>-1640</v>
      </c>
      <c r="AC30" t="s">
        <v>568</v>
      </c>
      <c r="AD30">
        <v>-621</v>
      </c>
      <c r="AE30">
        <v>-519</v>
      </c>
    </row>
    <row r="31" spans="1:38" x14ac:dyDescent="0.3">
      <c r="Y31" t="s">
        <v>521</v>
      </c>
      <c r="Z31">
        <v>-1778</v>
      </c>
      <c r="AA31">
        <v>-1965</v>
      </c>
      <c r="AC31" t="s">
        <v>569</v>
      </c>
      <c r="AD31">
        <v>2</v>
      </c>
      <c r="AE31">
        <v>5</v>
      </c>
    </row>
    <row r="32" spans="1:38" x14ac:dyDescent="0.3">
      <c r="Y32" t="s">
        <v>522</v>
      </c>
      <c r="Z32">
        <v>-8762</v>
      </c>
      <c r="AA32">
        <v>-9447</v>
      </c>
      <c r="AC32" t="s">
        <v>570</v>
      </c>
      <c r="AD32">
        <v>80</v>
      </c>
      <c r="AE32">
        <v>62</v>
      </c>
    </row>
    <row r="33" spans="25:31" x14ac:dyDescent="0.3">
      <c r="Y33" t="s">
        <v>526</v>
      </c>
      <c r="Z33">
        <v>-101</v>
      </c>
      <c r="AA33">
        <v>-231</v>
      </c>
      <c r="AC33" t="s">
        <v>571</v>
      </c>
      <c r="AD33">
        <v>-41</v>
      </c>
      <c r="AE33">
        <v>-17</v>
      </c>
    </row>
    <row r="34" spans="25:31" x14ac:dyDescent="0.3">
      <c r="Y34" t="s">
        <v>524</v>
      </c>
      <c r="Z34">
        <v>-1050</v>
      </c>
      <c r="AA34">
        <v>-1405</v>
      </c>
      <c r="AC34" t="s">
        <v>572</v>
      </c>
      <c r="AD34">
        <v>-939</v>
      </c>
      <c r="AE34">
        <v>-831</v>
      </c>
    </row>
    <row r="35" spans="25:31" x14ac:dyDescent="0.3">
      <c r="Y35" t="s">
        <v>527</v>
      </c>
      <c r="Z35">
        <v>-892</v>
      </c>
      <c r="AA35">
        <v>-981</v>
      </c>
      <c r="AC35" t="s">
        <v>573</v>
      </c>
    </row>
    <row r="36" spans="25:31" x14ac:dyDescent="0.3">
      <c r="Y36" t="s">
        <v>528</v>
      </c>
      <c r="Z36">
        <v>-16056</v>
      </c>
      <c r="AA36">
        <v>-19704</v>
      </c>
      <c r="AC36" t="s">
        <v>574</v>
      </c>
      <c r="AD36">
        <v>-927</v>
      </c>
      <c r="AE36">
        <v>-475</v>
      </c>
    </row>
    <row r="37" spans="25:31" x14ac:dyDescent="0.3">
      <c r="Y37" t="s">
        <v>529</v>
      </c>
      <c r="Z37">
        <v>-19</v>
      </c>
      <c r="AA37">
        <v>-100</v>
      </c>
      <c r="AC37" t="s">
        <v>575</v>
      </c>
      <c r="AD37">
        <v>93</v>
      </c>
      <c r="AE37">
        <v>-11</v>
      </c>
    </row>
    <row r="38" spans="25:31" x14ac:dyDescent="0.3">
      <c r="Y38" t="s">
        <v>530</v>
      </c>
      <c r="Z38">
        <v>-35362</v>
      </c>
      <c r="AA38">
        <v>-36567</v>
      </c>
      <c r="AC38" t="s">
        <v>576</v>
      </c>
      <c r="AD38">
        <v>177</v>
      </c>
      <c r="AE38">
        <v>7</v>
      </c>
    </row>
    <row r="39" spans="25:31" x14ac:dyDescent="0.3">
      <c r="Y39" t="s">
        <v>531</v>
      </c>
      <c r="Z39">
        <v>2753</v>
      </c>
      <c r="AA39">
        <v>-881</v>
      </c>
      <c r="AC39" t="s">
        <v>577</v>
      </c>
      <c r="AD39">
        <v>-232</v>
      </c>
      <c r="AE39">
        <v>-299</v>
      </c>
    </row>
    <row r="40" spans="25:31" x14ac:dyDescent="0.3">
      <c r="Y40" t="s">
        <v>532</v>
      </c>
      <c r="AC40" t="s">
        <v>578</v>
      </c>
      <c r="AD40">
        <v>-889</v>
      </c>
      <c r="AE40">
        <v>-778</v>
      </c>
    </row>
    <row r="41" spans="25:31" x14ac:dyDescent="0.3">
      <c r="Y41" t="s">
        <v>533</v>
      </c>
      <c r="Z41">
        <v>1689</v>
      </c>
      <c r="AA41">
        <v>1701</v>
      </c>
      <c r="AC41" t="s">
        <v>579</v>
      </c>
      <c r="AD41">
        <v>-180</v>
      </c>
      <c r="AE41">
        <v>-200</v>
      </c>
    </row>
    <row r="42" spans="25:31" x14ac:dyDescent="0.3">
      <c r="Y42" t="s">
        <v>534</v>
      </c>
      <c r="AA42">
        <v>1012</v>
      </c>
      <c r="AC42" t="s">
        <v>580</v>
      </c>
      <c r="AD42">
        <v>-74</v>
      </c>
      <c r="AE42">
        <v>-83</v>
      </c>
    </row>
    <row r="43" spans="25:31" x14ac:dyDescent="0.3">
      <c r="Y43" t="s">
        <v>535</v>
      </c>
      <c r="Z43">
        <v>5</v>
      </c>
      <c r="AA43">
        <v>168</v>
      </c>
      <c r="AC43" t="s">
        <v>581</v>
      </c>
      <c r="AD43">
        <v>-8</v>
      </c>
      <c r="AE43">
        <v>-15</v>
      </c>
    </row>
    <row r="44" spans="25:31" x14ac:dyDescent="0.3">
      <c r="Y44" t="s">
        <v>536</v>
      </c>
      <c r="Z44">
        <v>7</v>
      </c>
      <c r="AA44">
        <v>13</v>
      </c>
      <c r="AC44" t="s">
        <v>582</v>
      </c>
      <c r="AD44">
        <v>40</v>
      </c>
    </row>
    <row r="45" spans="25:31" x14ac:dyDescent="0.3">
      <c r="Y45" t="s">
        <v>537</v>
      </c>
      <c r="Z45">
        <v>418</v>
      </c>
      <c r="AA45">
        <v>603</v>
      </c>
      <c r="AC45" t="s">
        <v>583</v>
      </c>
      <c r="AD45">
        <v>34</v>
      </c>
      <c r="AE45">
        <v>33</v>
      </c>
    </row>
    <row r="46" spans="25:31" x14ac:dyDescent="0.3">
      <c r="Y46" t="s">
        <v>538</v>
      </c>
      <c r="Z46">
        <v>607</v>
      </c>
      <c r="AA46">
        <v>-4409</v>
      </c>
      <c r="AC46" t="s">
        <v>584</v>
      </c>
      <c r="AD46">
        <v>-1</v>
      </c>
      <c r="AE46">
        <v>-3</v>
      </c>
    </row>
    <row r="47" spans="25:31" x14ac:dyDescent="0.3">
      <c r="Y47" t="s">
        <v>539</v>
      </c>
      <c r="Z47">
        <v>2726</v>
      </c>
      <c r="AA47">
        <v>-912</v>
      </c>
      <c r="AC47" t="s">
        <v>585</v>
      </c>
      <c r="AD47">
        <v>-2</v>
      </c>
      <c r="AE47">
        <v>-1</v>
      </c>
    </row>
    <row r="48" spans="25:31" x14ac:dyDescent="0.3">
      <c r="Y48" t="s">
        <v>540</v>
      </c>
      <c r="Z48">
        <v>27</v>
      </c>
      <c r="AA48">
        <v>31</v>
      </c>
      <c r="AC48" t="s">
        <v>586</v>
      </c>
      <c r="AD48">
        <v>-1008</v>
      </c>
    </row>
    <row r="49" spans="25:31" x14ac:dyDescent="0.3">
      <c r="Y49" t="s">
        <v>541</v>
      </c>
      <c r="Z49">
        <v>2753</v>
      </c>
      <c r="AA49">
        <v>-881</v>
      </c>
      <c r="AC49" t="s">
        <v>587</v>
      </c>
      <c r="AD49">
        <v>-885</v>
      </c>
    </row>
    <row r="50" spans="25:31" x14ac:dyDescent="0.3">
      <c r="AC50" t="s">
        <v>588</v>
      </c>
      <c r="AD50">
        <v>-2973</v>
      </c>
      <c r="AE50">
        <v>-1047</v>
      </c>
    </row>
    <row r="51" spans="25:31" x14ac:dyDescent="0.3">
      <c r="AC51" t="s">
        <v>589</v>
      </c>
      <c r="AD51">
        <v>653</v>
      </c>
      <c r="AE51">
        <v>1904</v>
      </c>
    </row>
    <row r="52" spans="25:31" x14ac:dyDescent="0.3">
      <c r="AC52" t="s">
        <v>590</v>
      </c>
      <c r="AD52">
        <v>5573</v>
      </c>
      <c r="AE52">
        <v>3731</v>
      </c>
    </row>
    <row r="53" spans="25:31" x14ac:dyDescent="0.3">
      <c r="AC53" t="s">
        <v>591</v>
      </c>
      <c r="AD53">
        <v>15</v>
      </c>
      <c r="AE53">
        <v>-62</v>
      </c>
    </row>
    <row r="54" spans="25:31" x14ac:dyDescent="0.3">
      <c r="AC54" t="s">
        <v>592</v>
      </c>
      <c r="AD54">
        <v>6241</v>
      </c>
      <c r="AE54">
        <v>5573</v>
      </c>
    </row>
  </sheetData>
  <pageMargins left="0.7" right="0.7" top="0.75" bottom="0.75" header="0.3" footer="0.3"/>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D3022AD98449354BB6C50624079BB8AB" ma:contentTypeVersion="13" ma:contentTypeDescription="Create a new document." ma:contentTypeScope="" ma:versionID="fd88f6af6182000f62877c01d6cb0b89">
  <xsd:schema xmlns:xsd="http://www.w3.org/2001/XMLSchema" xmlns:xs="http://www.w3.org/2001/XMLSchema" xmlns:p="http://schemas.microsoft.com/office/2006/metadata/properties" xmlns:ns3="b59dfed4-2a23-4451-b7b4-19a8ae36867a" xmlns:ns4="9eb7039f-154a-4a57-9483-152672336163" targetNamespace="http://schemas.microsoft.com/office/2006/metadata/properties" ma:root="true" ma:fieldsID="87172bc50f8283378d18ad94aed865ba" ns3:_="" ns4:_="">
    <xsd:import namespace="b59dfed4-2a23-4451-b7b4-19a8ae36867a"/>
    <xsd:import namespace="9eb7039f-154a-4a57-9483-152672336163"/>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9dfed4-2a23-4451-b7b4-19a8ae3686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b7039f-154a-4a57-9483-15267233616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xml version="1.0" encoding="utf-8"?>
<p:properties xmlns:p="http://schemas.microsoft.com/office/2006/metadata/properties" xmlns:xsi="http://www.w3.org/2001/XMLSchema-instance" xmlns:pc="http://schemas.microsoft.com/office/infopath/2007/PartnerControls">
  <documentManagement>
    <_activity xmlns="b59dfed4-2a23-4451-b7b4-19a8ae36867a" xsi:nil="true"/>
  </documentManagement>
</p:properties>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7738A22A-AB34-4ED0-8166-948841EDA8D9}">
  <ds:schemaRefs/>
</ds:datastoreItem>
</file>

<file path=customXml/itemProps2.xml><?xml version="1.0" encoding="utf-8"?>
<ds:datastoreItem xmlns:ds="http://schemas.openxmlformats.org/officeDocument/2006/customXml" ds:itemID="{66B33725-F02B-4AB6-892E-748B203230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9dfed4-2a23-4451-b7b4-19a8ae36867a"/>
    <ds:schemaRef ds:uri="9eb7039f-154a-4a57-9483-1526723361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77F195-6778-4A96-A5BE-D41A96EC17E6}">
  <ds:schemaRefs/>
</ds:datastoreItem>
</file>

<file path=customXml/itemProps4.xml><?xml version="1.0" encoding="utf-8"?>
<ds:datastoreItem xmlns:ds="http://schemas.openxmlformats.org/officeDocument/2006/customXml" ds:itemID="{F04D2EA2-3708-4588-95F4-E35CC0B535CE}">
  <ds:schemaRefs/>
</ds:datastoreItem>
</file>

<file path=customXml/itemProps5.xml><?xml version="1.0" encoding="utf-8"?>
<ds:datastoreItem xmlns:ds="http://schemas.openxmlformats.org/officeDocument/2006/customXml" ds:itemID="{34DFE811-A5A0-4AE6-A021-6452D9A3F466}">
  <ds:schemaRefs/>
</ds:datastoreItem>
</file>

<file path=customXml/itemProps6.xml><?xml version="1.0" encoding="utf-8"?>
<ds:datastoreItem xmlns:ds="http://schemas.openxmlformats.org/officeDocument/2006/customXml" ds:itemID="{EF056E93-955F-4DC6-A8A0-0CE5730E9243}">
  <ds:schemaRefs>
    <ds:schemaRef ds:uri="http://schemas.microsoft.com/DataMashup"/>
  </ds:schemaRefs>
</ds:datastoreItem>
</file>

<file path=customXml/itemProps7.xml><?xml version="1.0" encoding="utf-8"?>
<ds:datastoreItem xmlns:ds="http://schemas.openxmlformats.org/officeDocument/2006/customXml" ds:itemID="{3B3F1DB0-ADEA-45F9-B41D-BAED1BD43029}">
  <ds:schemaRefs/>
</ds:datastoreItem>
</file>

<file path=customXml/itemProps8.xml><?xml version="1.0" encoding="utf-8"?>
<ds:datastoreItem xmlns:ds="http://schemas.openxmlformats.org/officeDocument/2006/customXml" ds:itemID="{677D0000-042E-4B3F-9551-6353AC24C803}">
  <ds:schemaRefs/>
</ds:datastoreItem>
</file>

<file path=customXml/itemProps9.xml><?xml version="1.0" encoding="utf-8"?>
<ds:datastoreItem xmlns:ds="http://schemas.openxmlformats.org/officeDocument/2006/customXml" ds:itemID="{20D9DE36-DF6A-4CD1-A9C7-23F89B1FD9A9}">
  <ds:schemaRefs/>
</ds:datastoreItem>
</file>

<file path=customXml/itemProps10.xml><?xml version="1.0" encoding="utf-8"?>
<ds:datastoreItem xmlns:ds="http://schemas.openxmlformats.org/officeDocument/2006/customXml" ds:itemID="{9F67B033-0742-4B61-9915-2F5EAA685AF7}">
  <ds:schemaRefs/>
</ds:datastoreItem>
</file>

<file path=customXml/itemProps11.xml><?xml version="1.0" encoding="utf-8"?>
<ds:datastoreItem xmlns:ds="http://schemas.openxmlformats.org/officeDocument/2006/customXml" ds:itemID="{65D73C7D-90EB-4FA8-97C3-2CD2A83DB56E}">
  <ds:schemaRefs/>
</ds:datastoreItem>
</file>

<file path=customXml/itemProps12.xml><?xml version="1.0" encoding="utf-8"?>
<ds:datastoreItem xmlns:ds="http://schemas.openxmlformats.org/officeDocument/2006/customXml" ds:itemID="{0B753B78-6656-4314-A00F-66AAE7E2E74A}">
  <ds:schemaRefs/>
</ds:datastoreItem>
</file>

<file path=customXml/itemProps13.xml><?xml version="1.0" encoding="utf-8"?>
<ds:datastoreItem xmlns:ds="http://schemas.openxmlformats.org/officeDocument/2006/customXml" ds:itemID="{2848A66E-8F9A-4290-9F31-AF9B41B70949}">
  <ds:schemaRefs>
    <ds:schemaRef ds:uri="http://schemas.microsoft.com/sharepoint/v3/contenttype/forms"/>
  </ds:schemaRefs>
</ds:datastoreItem>
</file>

<file path=customXml/itemProps14.xml><?xml version="1.0" encoding="utf-8"?>
<ds:datastoreItem xmlns:ds="http://schemas.openxmlformats.org/officeDocument/2006/customXml" ds:itemID="{26C39B5A-ABC0-4E79-BE1D-83ED2E79E418}">
  <ds:schemaRefs/>
</ds:datastoreItem>
</file>

<file path=customXml/itemProps15.xml><?xml version="1.0" encoding="utf-8"?>
<ds:datastoreItem xmlns:ds="http://schemas.openxmlformats.org/officeDocument/2006/customXml" ds:itemID="{D14BE990-ADBA-4683-A725-4999FD795753}">
  <ds:schemaRefs/>
</ds:datastoreItem>
</file>

<file path=customXml/itemProps16.xml><?xml version="1.0" encoding="utf-8"?>
<ds:datastoreItem xmlns:ds="http://schemas.openxmlformats.org/officeDocument/2006/customXml" ds:itemID="{C0AA67B8-8EC2-4B7B-9970-3778AA899591}">
  <ds:schemaRefs/>
</ds:datastoreItem>
</file>

<file path=customXml/itemProps17.xml><?xml version="1.0" encoding="utf-8"?>
<ds:datastoreItem xmlns:ds="http://schemas.openxmlformats.org/officeDocument/2006/customXml" ds:itemID="{19558706-1C3B-4D15-991C-2E785A6E8522}">
  <ds:schemaRefs/>
</ds:datastoreItem>
</file>

<file path=customXml/itemProps18.xml><?xml version="1.0" encoding="utf-8"?>
<ds:datastoreItem xmlns:ds="http://schemas.openxmlformats.org/officeDocument/2006/customXml" ds:itemID="{E16A4128-1081-40BA-974E-F3BAE13534FA}">
  <ds:schemaRefs/>
</ds:datastoreItem>
</file>

<file path=customXml/itemProps19.xml><?xml version="1.0" encoding="utf-8"?>
<ds:datastoreItem xmlns:ds="http://schemas.openxmlformats.org/officeDocument/2006/customXml" ds:itemID="{B9935182-3B6D-471A-8747-D8A4FDC832C6}">
  <ds:schemaRefs/>
</ds:datastoreItem>
</file>

<file path=customXml/itemProps20.xml><?xml version="1.0" encoding="utf-8"?>
<ds:datastoreItem xmlns:ds="http://schemas.openxmlformats.org/officeDocument/2006/customXml" ds:itemID="{A137D53E-4164-4C72-8A47-E4FFAE7BA21C}">
  <ds:schemaRefs/>
</ds:datastoreItem>
</file>

<file path=customXml/itemProps21.xml><?xml version="1.0" encoding="utf-8"?>
<ds:datastoreItem xmlns:ds="http://schemas.openxmlformats.org/officeDocument/2006/customXml" ds:itemID="{EE2B67AB-D7B9-4774-8A6A-69D17DC890E1}">
  <ds:schemaRefs/>
</ds:datastoreItem>
</file>

<file path=customXml/itemProps22.xml><?xml version="1.0" encoding="utf-8"?>
<ds:datastoreItem xmlns:ds="http://schemas.openxmlformats.org/officeDocument/2006/customXml" ds:itemID="{69953F41-E0B1-4EB2-911A-A0C37F17A2F5}">
  <ds:schemaRefs>
    <ds:schemaRef ds:uri="http://schemas.microsoft.com/office/2006/documentManagement/types"/>
    <ds:schemaRef ds:uri="b59dfed4-2a23-4451-b7b4-19a8ae36867a"/>
    <ds:schemaRef ds:uri="http://purl.org/dc/elements/1.1/"/>
    <ds:schemaRef ds:uri="9eb7039f-154a-4a57-9483-152672336163"/>
    <ds:schemaRef ds:uri="http://purl.org/dc/dcmitype/"/>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customXml/itemProps23.xml><?xml version="1.0" encoding="utf-8"?>
<ds:datastoreItem xmlns:ds="http://schemas.openxmlformats.org/officeDocument/2006/customXml" ds:itemID="{C64DC9E6-7549-434A-B001-729152535B6E}">
  <ds:schemaRefs/>
</ds:datastoreItem>
</file>

<file path=customXml/itemProps24.xml><?xml version="1.0" encoding="utf-8"?>
<ds:datastoreItem xmlns:ds="http://schemas.openxmlformats.org/officeDocument/2006/customXml" ds:itemID="{F1DB7019-E764-4E21-ACF4-89DA133BBF93}">
  <ds:schemaRefs/>
</ds:datastoreItem>
</file>

<file path=customXml/itemProps25.xml><?xml version="1.0" encoding="utf-8"?>
<ds:datastoreItem xmlns:ds="http://schemas.openxmlformats.org/officeDocument/2006/customXml" ds:itemID="{D127CAFD-9B9B-428E-B5EE-5600E532DEE5}">
  <ds:schemaRefs/>
</ds:datastoreItem>
</file>

<file path=customXml/itemProps26.xml><?xml version="1.0" encoding="utf-8"?>
<ds:datastoreItem xmlns:ds="http://schemas.openxmlformats.org/officeDocument/2006/customXml" ds:itemID="{618680EF-380C-4854-A7EC-245D97D91A2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Dashboard</vt:lpstr>
      <vt:lpstr>Historical_FS</vt:lpstr>
      <vt:lpstr>Ratio_Analysis</vt:lpstr>
      <vt:lpstr>Operating_Drivers</vt:lpstr>
      <vt:lpstr>Forecast_Model</vt:lpstr>
      <vt:lpstr>DCF</vt:lpstr>
      <vt:lpstr>Comparable_Companies</vt:lpstr>
      <vt:lpstr>Sensitivity</vt:lpstr>
      <vt:lpstr>Power_Pivot_Analysis</vt:lpstr>
      <vt:lpstr>Checks</vt:lpstr>
      <vt:lpstr>Sources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Wajedul Haque</dc:creator>
  <cp:lastModifiedBy>Wajedul Haque</cp:lastModifiedBy>
  <dcterms:created xsi:type="dcterms:W3CDTF">2026-08-10T12:02:37Z</dcterms:created>
  <dcterms:modified xsi:type="dcterms:W3CDTF">2026-08-15T17:20:04Z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0x010100D3022AD98449354BB6C50624079BB8AB</vt:lpwstr>
  </property>
</Properties>
</file>